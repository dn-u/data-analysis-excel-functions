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13_ncr:1_{90CDB0A4-5593-47BC-9B7A-B657B47EE7F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  <sheet name="Sheet1" sheetId="1" r:id="rId2"/>
    <sheet name="Sheet3" sheetId="3" r:id="rId3"/>
    <sheet name="Practice" sheetId="8" r:id="rId4"/>
    <sheet name="Sheet4" sheetId="4" r:id="rId5"/>
    <sheet name="Sheet6" sheetId="6" r:id="rId6"/>
    <sheet name="Sheet5" sheetId="5" r:id="rId7"/>
    <sheet name="Sheet7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7" l="1"/>
  <c r="O3" i="5"/>
  <c r="Q2" i="5"/>
  <c r="L2" i="5"/>
  <c r="K2" i="5"/>
  <c r="J2" i="5"/>
  <c r="H3" i="5"/>
  <c r="H4" i="5"/>
  <c r="H5" i="5"/>
  <c r="H6" i="5"/>
  <c r="H7" i="5"/>
  <c r="H8" i="5"/>
  <c r="H2" i="5"/>
  <c r="I25" i="6"/>
  <c r="H25" i="6"/>
  <c r="I22" i="6"/>
  <c r="H22" i="6"/>
  <c r="G3" i="6"/>
  <c r="E7" i="6"/>
  <c r="E3" i="6"/>
  <c r="E5" i="6"/>
  <c r="E6" i="6"/>
  <c r="E4" i="6"/>
  <c r="M20" i="4"/>
  <c r="M19" i="4"/>
  <c r="M14" i="4"/>
  <c r="M13" i="4"/>
  <c r="J28" i="4"/>
  <c r="J27" i="4"/>
  <c r="J26" i="4"/>
  <c r="J23" i="4"/>
  <c r="J21" i="4"/>
  <c r="J20" i="4"/>
  <c r="H4" i="4"/>
  <c r="J17" i="4"/>
  <c r="J16" i="4"/>
  <c r="J14" i="4"/>
  <c r="J13" i="4"/>
  <c r="L24" i="8" a="1"/>
  <c r="L24" i="8" s="1"/>
  <c r="L25" i="8" a="1"/>
  <c r="L25" i="8" s="1"/>
  <c r="L26" i="8" a="1"/>
  <c r="L26" i="8"/>
  <c r="L27" i="8" a="1"/>
  <c r="L27" i="8"/>
  <c r="L28" i="8" a="1"/>
  <c r="L28" i="8"/>
  <c r="L29" i="8" a="1"/>
  <c r="L29" i="8"/>
  <c r="L30" i="8" a="1"/>
  <c r="L30" i="8" s="1"/>
  <c r="L31" i="8" a="1"/>
  <c r="L31" i="8" s="1"/>
  <c r="L32" i="8" a="1"/>
  <c r="L32" i="8"/>
  <c r="L23" i="8" a="1"/>
  <c r="L23" i="8" s="1"/>
  <c r="T2" i="3" a="1"/>
  <c r="T2" i="3" s="1"/>
  <c r="O24" i="8" a="1"/>
  <c r="O24" i="8"/>
  <c r="N23" i="8" a="1"/>
  <c r="N23" i="8" s="1"/>
  <c r="O3" i="3"/>
  <c r="M24" i="8"/>
  <c r="M25" i="8"/>
  <c r="M26" i="8"/>
  <c r="M27" i="8"/>
  <c r="M28" i="8"/>
  <c r="M29" i="8"/>
  <c r="M30" i="8"/>
  <c r="M31" i="8"/>
  <c r="M32" i="8"/>
  <c r="M23" i="8"/>
  <c r="G33" i="8"/>
  <c r="F35" i="8"/>
  <c r="F33" i="8"/>
  <c r="H24" i="8"/>
  <c r="H25" i="8"/>
  <c r="H26" i="8"/>
  <c r="H27" i="8"/>
  <c r="H28" i="8"/>
  <c r="H29" i="8"/>
  <c r="H30" i="8"/>
  <c r="H31" i="8"/>
  <c r="H32" i="8"/>
  <c r="H23" i="8"/>
  <c r="M3" i="8"/>
  <c r="M4" i="8"/>
  <c r="M5" i="8"/>
  <c r="M6" i="8"/>
  <c r="M7" i="8"/>
  <c r="M8" i="8"/>
  <c r="M9" i="8"/>
  <c r="M10" i="8"/>
  <c r="M11" i="8"/>
  <c r="M2" i="8"/>
  <c r="Q6" i="2"/>
  <c r="Q5" i="2"/>
  <c r="Q4" i="2"/>
  <c r="Q3" i="2"/>
  <c r="Q2" i="2"/>
  <c r="J2" i="2" a="1"/>
  <c r="J2" i="2" s="1"/>
  <c r="L2" i="2" s="1" a="1"/>
  <c r="L2" i="2" s="1"/>
  <c r="O2" i="2" a="1"/>
  <c r="O2" i="2" s="1"/>
  <c r="K2" i="2" a="1"/>
  <c r="K2" i="2" s="1"/>
  <c r="F3" i="2" a="1"/>
  <c r="F3" i="2" s="1"/>
  <c r="H2" i="2" a="1"/>
  <c r="H2" i="2" s="1"/>
  <c r="M18" i="1"/>
  <c r="M17" i="1"/>
  <c r="J2" i="1" a="1"/>
  <c r="J2" i="1" s="1"/>
  <c r="G2" i="1" a="1"/>
  <c r="G2" i="1" s="1"/>
  <c r="Q24" i="8"/>
  <c r="Q25" i="8"/>
  <c r="Q26" i="8"/>
  <c r="Q27" i="8"/>
  <c r="Q28" i="8"/>
  <c r="Q29" i="8"/>
  <c r="Q30" i="8"/>
  <c r="Q31" i="8"/>
  <c r="Q32" i="8"/>
  <c r="Q23" i="8"/>
  <c r="K23" i="8"/>
  <c r="K24" i="8"/>
  <c r="K25" i="8"/>
  <c r="K26" i="8"/>
  <c r="K27" i="8"/>
  <c r="K28" i="8"/>
  <c r="K29" i="8"/>
  <c r="K30" i="8"/>
  <c r="K31" i="8"/>
  <c r="K32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K2" i="8"/>
  <c r="K3" i="8"/>
  <c r="K4" i="8"/>
  <c r="K5" i="8"/>
  <c r="K6" i="8"/>
  <c r="K7" i="8"/>
  <c r="K8" i="8"/>
  <c r="K9" i="8"/>
  <c r="K10" i="8"/>
  <c r="K11" i="8"/>
  <c r="D12" i="8"/>
  <c r="L3" i="8"/>
  <c r="L4" i="8"/>
  <c r="L5" i="8"/>
  <c r="L6" i="8"/>
  <c r="L7" i="8"/>
  <c r="L8" i="8"/>
  <c r="L9" i="8"/>
  <c r="L10" i="8"/>
  <c r="L11" i="8"/>
  <c r="L2" i="8"/>
  <c r="I3" i="8"/>
  <c r="I4" i="8"/>
  <c r="I5" i="8"/>
  <c r="I6" i="8"/>
  <c r="I7" i="8"/>
  <c r="I8" i="8"/>
  <c r="I9" i="8"/>
  <c r="I10" i="8"/>
  <c r="I11" i="8"/>
  <c r="I2" i="8"/>
  <c r="H3" i="8"/>
  <c r="H4" i="8"/>
  <c r="H5" i="8"/>
  <c r="H6" i="8"/>
  <c r="H7" i="8"/>
  <c r="H8" i="8"/>
  <c r="H9" i="8"/>
  <c r="H10" i="8"/>
  <c r="H11" i="8"/>
  <c r="H2" i="8"/>
  <c r="G3" i="8"/>
  <c r="G4" i="8"/>
  <c r="G5" i="8"/>
  <c r="G6" i="8"/>
  <c r="G7" i="8"/>
  <c r="G8" i="8"/>
  <c r="G9" i="8"/>
  <c r="G10" i="8"/>
  <c r="G11" i="8"/>
  <c r="G2" i="8"/>
  <c r="R3" i="7"/>
  <c r="J3" i="7"/>
  <c r="P4" i="7"/>
  <c r="P5" i="7"/>
  <c r="P6" i="7"/>
  <c r="P7" i="7"/>
  <c r="P3" i="7"/>
  <c r="O4" i="7"/>
  <c r="O5" i="7"/>
  <c r="O6" i="7"/>
  <c r="O7" i="7"/>
  <c r="O3" i="7"/>
  <c r="J4" i="7"/>
  <c r="J5" i="7"/>
  <c r="J6" i="7"/>
  <c r="J7" i="7"/>
  <c r="G7" i="6"/>
  <c r="G6" i="6"/>
  <c r="G5" i="6"/>
  <c r="G4" i="6"/>
  <c r="Q8" i="6"/>
  <c r="O9" i="6"/>
  <c r="Q6" i="6"/>
  <c r="O6" i="6"/>
  <c r="O4" i="5"/>
  <c r="O5" i="5"/>
  <c r="O6" i="5"/>
  <c r="O7" i="5"/>
  <c r="O8" i="5"/>
  <c r="O2" i="5"/>
  <c r="N2" i="5" a="1"/>
  <c r="N2" i="5" s="1"/>
  <c r="M2" i="5"/>
  <c r="Q2" i="4"/>
  <c r="O6" i="4"/>
  <c r="O2" i="4"/>
  <c r="N8" i="4"/>
  <c r="N2" i="4"/>
  <c r="M2" i="4"/>
  <c r="G4" i="4"/>
  <c r="J5" i="4"/>
  <c r="Q2" i="3"/>
  <c r="Q3" i="3"/>
  <c r="Q4" i="3"/>
  <c r="Q5" i="3"/>
  <c r="Q6" i="3"/>
  <c r="Q7" i="3"/>
  <c r="Q8" i="3"/>
  <c r="Q9" i="3"/>
  <c r="Q10" i="3"/>
  <c r="Q11" i="3"/>
  <c r="R2" i="3"/>
  <c r="R3" i="3"/>
  <c r="R4" i="3"/>
  <c r="R5" i="3"/>
  <c r="R6" i="3"/>
  <c r="R7" i="3"/>
  <c r="R8" i="3"/>
  <c r="R9" i="3"/>
  <c r="R10" i="3"/>
  <c r="R11" i="3"/>
  <c r="P12" i="3"/>
  <c r="O4" i="3"/>
  <c r="O5" i="3"/>
  <c r="O6" i="3"/>
  <c r="O7" i="3"/>
  <c r="O8" i="3"/>
  <c r="O9" i="3"/>
  <c r="O10" i="3"/>
  <c r="O11" i="3"/>
  <c r="P11" i="3" s="1"/>
  <c r="O2" i="3"/>
  <c r="M2" i="3" a="1"/>
  <c r="M2" i="3" s="1"/>
  <c r="L2" i="3" a="1"/>
  <c r="L2" i="3" s="1"/>
  <c r="J3" i="3"/>
  <c r="J4" i="3"/>
  <c r="J5" i="3"/>
  <c r="J6" i="3"/>
  <c r="J7" i="3"/>
  <c r="J8" i="3"/>
  <c r="J9" i="3"/>
  <c r="J10" i="3"/>
  <c r="J11" i="3"/>
  <c r="J2" i="3"/>
  <c r="I3" i="3"/>
  <c r="I4" i="3"/>
  <c r="I5" i="3"/>
  <c r="I6" i="3"/>
  <c r="I7" i="3"/>
  <c r="I8" i="3"/>
  <c r="I9" i="3"/>
  <c r="I10" i="3"/>
  <c r="I11" i="3"/>
  <c r="I2" i="3"/>
  <c r="G3" i="3"/>
  <c r="G4" i="3"/>
  <c r="G5" i="3"/>
  <c r="G6" i="3"/>
  <c r="G7" i="3"/>
  <c r="G8" i="3"/>
  <c r="G9" i="3"/>
  <c r="G10" i="3"/>
  <c r="G11" i="3"/>
  <c r="G2" i="3"/>
  <c r="F3" i="3"/>
  <c r="F4" i="3"/>
  <c r="F5" i="3"/>
  <c r="F6" i="3"/>
  <c r="F7" i="3"/>
  <c r="F8" i="3"/>
  <c r="F9" i="3"/>
  <c r="F10" i="3"/>
  <c r="F11" i="3"/>
  <c r="F2" i="3"/>
  <c r="H11" i="3"/>
  <c r="H10" i="3"/>
  <c r="H9" i="3"/>
  <c r="H8" i="3"/>
  <c r="H7" i="3"/>
  <c r="H6" i="3"/>
  <c r="H5" i="3"/>
  <c r="H4" i="3"/>
  <c r="H3" i="3"/>
  <c r="H2" i="3"/>
  <c r="P3" i="2"/>
  <c r="P4" i="2"/>
  <c r="P5" i="2"/>
  <c r="P6" i="2"/>
  <c r="P2" i="2"/>
  <c r="N3" i="2"/>
  <c r="N4" i="2"/>
  <c r="N5" i="2"/>
  <c r="N6" i="2"/>
  <c r="N2" i="2"/>
  <c r="O4" i="2"/>
  <c r="I2" i="2"/>
  <c r="I3" i="2"/>
  <c r="I4" i="2"/>
  <c r="I5" i="2"/>
  <c r="I6" i="2"/>
  <c r="G5" i="2"/>
  <c r="G6" i="2"/>
  <c r="F2" i="2"/>
  <c r="O6" i="2"/>
  <c r="M6" i="2"/>
  <c r="O5" i="2"/>
  <c r="M5" i="2"/>
  <c r="M4" i="2"/>
  <c r="O3" i="2"/>
  <c r="M3" i="2"/>
  <c r="M2" i="2"/>
  <c r="K3" i="1"/>
  <c r="K4" i="1"/>
  <c r="K5" i="1"/>
  <c r="K6" i="1"/>
  <c r="K7" i="1"/>
  <c r="K8" i="1"/>
  <c r="K9" i="1"/>
  <c r="K10" i="1"/>
  <c r="K11" i="1"/>
  <c r="K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F3" i="1"/>
  <c r="F4" i="1"/>
  <c r="F5" i="1"/>
  <c r="F6" i="1"/>
  <c r="F7" i="1"/>
  <c r="F8" i="1"/>
  <c r="F9" i="1"/>
  <c r="F10" i="1"/>
  <c r="F11" i="1"/>
  <c r="F2" i="1"/>
  <c r="M14" i="1"/>
  <c r="M13" i="1"/>
  <c r="M12" i="1"/>
  <c r="P5" i="3" l="1"/>
  <c r="F2" i="8"/>
  <c r="J2" i="8" s="1"/>
  <c r="F10" i="8"/>
  <c r="J10" i="8" s="1"/>
  <c r="F9" i="8"/>
  <c r="J9" i="8" s="1"/>
  <c r="F7" i="8"/>
  <c r="J7" i="8" s="1"/>
  <c r="F6" i="8"/>
  <c r="J6" i="8" s="1"/>
  <c r="F11" i="8"/>
  <c r="J11" i="8" s="1"/>
  <c r="F8" i="8"/>
  <c r="J8" i="8" s="1"/>
  <c r="F5" i="8"/>
  <c r="J5" i="8" s="1"/>
  <c r="F4" i="8"/>
  <c r="J4" i="8" s="1"/>
  <c r="F3" i="8"/>
  <c r="J3" i="8" s="1"/>
  <c r="P10" i="3"/>
  <c r="P9" i="3"/>
  <c r="P3" i="3"/>
  <c r="P8" i="3"/>
  <c r="P7" i="3"/>
  <c r="P2" i="3"/>
  <c r="P6" i="3"/>
  <c r="P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tc={F09D3C46-2354-4510-AD14-293577045576}</author>
    <author>tc={86BFC016-544D-4C77-8548-556426DE39B6}</author>
  </authors>
  <commentList>
    <comment ref="P3" authorId="0" shapeId="0" xr:uid="{F09D3C46-2354-4510-AD14-29357704557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Vlookup fun the lookup value is must be 1 st index in second table . Either it vill gave #N/A</t>
      </text>
    </comment>
    <comment ref="R3" authorId="1" shapeId="0" xr:uid="{86BFC016-544D-4C77-8548-556426DE39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While in Xlookup we can retrive the value of any index left to right or right to left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<sst xmlns="http://schemas.openxmlformats.org/spreadsheetml/2006/main" count="413" uniqueCount="195">
  <si>
    <t>Employee ID</t>
  </si>
  <si>
    <t>Name</t>
  </si>
  <si>
    <t>Department</t>
  </si>
  <si>
    <t>Salary</t>
  </si>
  <si>
    <t>Years of Experience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</si>
  <si>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</si>
  <si>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</si>
  <si>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</si>
  <si>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</si>
  <si>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</si>
  <si>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</si>
  <si>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</si>
  <si>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</si>
  <si>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Ivan</t>
  </si>
  <si>
    <t>Jack</t>
  </si>
  <si>
    <t>HR</t>
  </si>
  <si>
    <t>IT</t>
  </si>
  <si>
    <t>Finance</t>
  </si>
  <si>
    <t>upper</t>
  </si>
  <si>
    <t>lower</t>
  </si>
  <si>
    <t>power</t>
  </si>
  <si>
    <t>mid</t>
  </si>
  <si>
    <t>sqrt</t>
  </si>
  <si>
    <t>Uppercase</t>
  </si>
  <si>
    <t>LowerCase</t>
  </si>
  <si>
    <t>SQRT Fun</t>
  </si>
  <si>
    <t>Power Fun</t>
  </si>
  <si>
    <t>Mid Function</t>
  </si>
  <si>
    <t>Mid Fun1</t>
  </si>
  <si>
    <t xml:space="preserve"> </t>
  </si>
  <si>
    <t>First Name</t>
  </si>
  <si>
    <t>Last Name</t>
  </si>
  <si>
    <t>Phone Number</t>
  </si>
  <si>
    <t>Substitute</t>
  </si>
  <si>
    <t>Substitute 1</t>
  </si>
  <si>
    <t>Trim</t>
  </si>
  <si>
    <t>Test Substitute</t>
  </si>
  <si>
    <t>Left</t>
  </si>
  <si>
    <t>Right</t>
  </si>
  <si>
    <t>Len</t>
  </si>
  <si>
    <t>Len 1</t>
  </si>
  <si>
    <t>Lower</t>
  </si>
  <si>
    <t>Proper Function</t>
  </si>
  <si>
    <t xml:space="preserve">Smith  </t>
  </si>
  <si>
    <t xml:space="preserve">  HR</t>
  </si>
  <si>
    <t xml:space="preserve"> 123-456-7890</t>
  </si>
  <si>
    <t xml:space="preserve"> Bob</t>
  </si>
  <si>
    <t xml:space="preserve"> Johnson</t>
  </si>
  <si>
    <t xml:space="preserve">IT  </t>
  </si>
  <si>
    <t xml:space="preserve"> 987-654-3210 </t>
  </si>
  <si>
    <t>Brown</t>
  </si>
  <si>
    <t xml:space="preserve">456-789-0123  </t>
  </si>
  <si>
    <t xml:space="preserve"> David</t>
  </si>
  <si>
    <t xml:space="preserve">  White</t>
  </si>
  <si>
    <t xml:space="preserve"> 321-654-0987</t>
  </si>
  <si>
    <t xml:space="preserve">Clark </t>
  </si>
  <si>
    <t xml:space="preserve">HR </t>
  </si>
  <si>
    <t xml:space="preserve"> 789-012-3456 </t>
  </si>
  <si>
    <t>left</t>
  </si>
  <si>
    <t>right</t>
  </si>
  <si>
    <t>trim</t>
  </si>
  <si>
    <t>concat</t>
  </si>
  <si>
    <t>len</t>
  </si>
  <si>
    <t xml:space="preserve">    HR </t>
  </si>
  <si>
    <t xml:space="preserve">       SUB</t>
  </si>
  <si>
    <t xml:space="preserve">          SUN</t>
  </si>
  <si>
    <t xml:space="preserve"> Alice</t>
  </si>
  <si>
    <t>proper fun</t>
  </si>
  <si>
    <t>Sales</t>
  </si>
  <si>
    <t>Target Achieved</t>
  </si>
  <si>
    <t>Concat</t>
  </si>
  <si>
    <t>Concat New</t>
  </si>
  <si>
    <t>Concat 2</t>
  </si>
  <si>
    <t>Smith</t>
  </si>
  <si>
    <t>Yes</t>
  </si>
  <si>
    <t>Johnson</t>
  </si>
  <si>
    <t>No</t>
  </si>
  <si>
    <t>White</t>
  </si>
  <si>
    <t>Clark</t>
  </si>
  <si>
    <t>Taylor</t>
  </si>
  <si>
    <t>Evans</t>
  </si>
  <si>
    <t>Martin</t>
  </si>
  <si>
    <t>Lee</t>
  </si>
  <si>
    <t>Walker</t>
  </si>
  <si>
    <t>Countif</t>
  </si>
  <si>
    <t>if</t>
  </si>
  <si>
    <t>CountIF</t>
  </si>
  <si>
    <t>if&gt;200</t>
  </si>
  <si>
    <t>Nested if</t>
  </si>
  <si>
    <t>Count</t>
  </si>
  <si>
    <t>countifs</t>
  </si>
  <si>
    <t>nestedif</t>
  </si>
  <si>
    <t>Date</t>
  </si>
  <si>
    <t>Product</t>
  </si>
  <si>
    <t>Salesperson</t>
  </si>
  <si>
    <t>Units Sold</t>
  </si>
  <si>
    <t>Revenue</t>
  </si>
  <si>
    <t>Widget A</t>
  </si>
  <si>
    <t>Widget B</t>
  </si>
  <si>
    <t>Carol</t>
  </si>
  <si>
    <t>Widget C</t>
  </si>
  <si>
    <t>SUMIF</t>
  </si>
  <si>
    <t>AVERAGEIF</t>
  </si>
  <si>
    <t>Sumif+ Sumif</t>
  </si>
  <si>
    <t>sumif</t>
  </si>
  <si>
    <t>Avgif</t>
  </si>
  <si>
    <t>sumif*sumif</t>
  </si>
  <si>
    <t>Countifs</t>
  </si>
  <si>
    <t>Minifs</t>
  </si>
  <si>
    <t>Maxifs</t>
  </si>
  <si>
    <t>Minifs+ con</t>
  </si>
  <si>
    <r>
      <t>TODAY()</t>
    </r>
    <r>
      <rPr>
        <sz val="11"/>
        <color theme="1"/>
        <rFont val="Calibri"/>
        <family val="2"/>
        <scheme val="minor"/>
      </rPr>
      <t>: Returns the current date.</t>
    </r>
  </si>
  <si>
    <r>
      <t>DATE()</t>
    </r>
    <r>
      <rPr>
        <sz val="11"/>
        <color theme="1"/>
        <rFont val="Calibri"/>
        <family val="2"/>
        <scheme val="minor"/>
      </rPr>
      <t>: Creates a date from year, month, and day values.</t>
    </r>
  </si>
  <si>
    <r>
      <t>DAY()</t>
    </r>
    <r>
      <rPr>
        <sz val="11"/>
        <color theme="1"/>
        <rFont val="Calibri"/>
        <family val="2"/>
        <scheme val="minor"/>
      </rPr>
      <t>: Returns the day of the month from a date.</t>
    </r>
  </si>
  <si>
    <r>
      <t>MONTH()</t>
    </r>
    <r>
      <rPr>
        <sz val="11"/>
        <color theme="1"/>
        <rFont val="Calibri"/>
        <family val="2"/>
        <scheme val="minor"/>
      </rPr>
      <t>: Returns the month from a date.</t>
    </r>
  </si>
  <si>
    <r>
      <t>YEAR()</t>
    </r>
    <r>
      <rPr>
        <sz val="11"/>
        <color theme="1"/>
        <rFont val="Calibri"/>
        <family val="2"/>
        <scheme val="minor"/>
      </rPr>
      <t>: Returns the year from a date.</t>
    </r>
  </si>
  <si>
    <r>
      <t>WEEKDAY()</t>
    </r>
    <r>
      <rPr>
        <sz val="11"/>
        <color theme="1"/>
        <rFont val="Calibri"/>
        <family val="2"/>
        <scheme val="minor"/>
      </rPr>
      <t>: Returns the day of the week as a number.</t>
    </r>
  </si>
  <si>
    <r>
      <t>DAYS()</t>
    </r>
    <r>
      <rPr>
        <sz val="11"/>
        <color theme="1"/>
        <rFont val="Calibri"/>
        <family val="2"/>
        <scheme val="minor"/>
      </rPr>
      <t>: Returns the number of days between two dates.</t>
    </r>
  </si>
  <si>
    <r>
      <t>NOW()</t>
    </r>
    <r>
      <rPr>
        <sz val="11"/>
        <color theme="1"/>
        <rFont val="Calibri"/>
        <family val="2"/>
        <scheme val="minor"/>
      </rPr>
      <t>: Returns the current date and time.</t>
    </r>
  </si>
  <si>
    <t>today</t>
  </si>
  <si>
    <t>count=</t>
  </si>
  <si>
    <t>sum=</t>
  </si>
  <si>
    <t>date</t>
  </si>
  <si>
    <t>day</t>
  </si>
  <si>
    <t>month</t>
  </si>
  <si>
    <t>year</t>
  </si>
  <si>
    <t>weekday</t>
  </si>
  <si>
    <t>days</t>
  </si>
  <si>
    <t>now</t>
  </si>
  <si>
    <t>Data 1</t>
  </si>
  <si>
    <t>Student ID</t>
  </si>
  <si>
    <t>Age</t>
  </si>
  <si>
    <t>Grade</t>
  </si>
  <si>
    <t>Vlookup</t>
  </si>
  <si>
    <t>VlookUp</t>
  </si>
  <si>
    <t>S001</t>
  </si>
  <si>
    <t>Introduction to Data Science and Machine Learning</t>
  </si>
  <si>
    <t>S002</t>
  </si>
  <si>
    <t>Full-Stack Web Development Bootcamp</t>
  </si>
  <si>
    <t>S003</t>
  </si>
  <si>
    <t>Cybersecurity Essentials: Protecting Digital Assets</t>
  </si>
  <si>
    <t>S004</t>
  </si>
  <si>
    <t>Advanced Excel and Data Analysis</t>
  </si>
  <si>
    <t>S005</t>
  </si>
  <si>
    <t>Cloud Computing with AWS and Azure</t>
  </si>
  <si>
    <t>Data 2</t>
  </si>
  <si>
    <t>Course</t>
  </si>
  <si>
    <t>Test</t>
  </si>
  <si>
    <t xml:space="preserve">Name </t>
  </si>
  <si>
    <t xml:space="preserve">AGE </t>
  </si>
  <si>
    <t>Danish</t>
  </si>
  <si>
    <t>XLOOKUP</t>
  </si>
  <si>
    <t>VLOOKUP</t>
  </si>
  <si>
    <t>vlookup</t>
  </si>
  <si>
    <t>Xlookup</t>
  </si>
  <si>
    <t xml:space="preserve">Emolpoyee Id </t>
  </si>
  <si>
    <t xml:space="preserve">Department </t>
  </si>
  <si>
    <t xml:space="preserve">Experience </t>
  </si>
  <si>
    <t>Suman</t>
  </si>
  <si>
    <t>Suresh</t>
  </si>
  <si>
    <t>Faiz</t>
  </si>
  <si>
    <t>Naiz</t>
  </si>
  <si>
    <t>Leyoin</t>
  </si>
  <si>
    <t>Kalam</t>
  </si>
  <si>
    <t>CS</t>
  </si>
  <si>
    <t>AI</t>
  </si>
  <si>
    <t xml:space="preserve">CS </t>
  </si>
  <si>
    <t>proper</t>
  </si>
  <si>
    <t xml:space="preserve">Sqrt </t>
  </si>
  <si>
    <t xml:space="preserve">  Danish</t>
  </si>
  <si>
    <t xml:space="preserve">Anam  </t>
  </si>
  <si>
    <t xml:space="preserve"> Satish</t>
  </si>
  <si>
    <t xml:space="preserve">Right </t>
  </si>
  <si>
    <t>count</t>
  </si>
  <si>
    <t>sales by target</t>
  </si>
  <si>
    <t>Countif=</t>
  </si>
  <si>
    <t xml:space="preserve">Target Achived </t>
  </si>
  <si>
    <t>Countifs=</t>
  </si>
  <si>
    <t>Nested If</t>
  </si>
  <si>
    <t>ifs</t>
  </si>
  <si>
    <t>DEPT</t>
  </si>
  <si>
    <t>SUMIF=</t>
  </si>
  <si>
    <t>sumifs=</t>
  </si>
  <si>
    <t>countifs=</t>
  </si>
  <si>
    <t>average=</t>
  </si>
  <si>
    <t>averageif=</t>
  </si>
  <si>
    <t>Averageifs=</t>
  </si>
  <si>
    <t>Max=</t>
  </si>
  <si>
    <t>Maxifs=</t>
  </si>
  <si>
    <t>Min=</t>
  </si>
  <si>
    <t>Minifs=</t>
  </si>
  <si>
    <t>DANISH</t>
  </si>
  <si>
    <t xml:space="preserve">IF we have a" Date" data type in </t>
  </si>
  <si>
    <t>our dataset we can easily retrive date, month, time, and year specifaically</t>
  </si>
  <si>
    <t>Days fun gaves to total number of date in to peroid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</si>
</sst>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_);[Red]\(&quot;$&quot;#,##0\)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Algerian"/>
      <family val="5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0" fillId="2" borderId="0" xfId="0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3" fillId="0" borderId="0" xfId="0" applyFont="1"/>
    <xf numFmtId="14" fontId="0" fillId="0" borderId="0" xfId="0" applyNumberFormat="1"/>
    <xf numFmtId="22" fontId="0" fillId="0" borderId="0" xfId="0" applyNumberFormat="1"/>
    <xf numFmtId="0" fontId="1" fillId="3" borderId="0" xfId="0" applyFont="1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2" fillId="3" borderId="0" xfId="0" applyFont="1" applyFill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2" xfId="0" applyFont="1" applyBorder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1" fillId="4" borderId="0" xfId="0" applyFont="1" applyFill="1"/>
    <xf numFmtId="0" fontId="0" fillId="4" borderId="0" xfId="0" applyFill="1"/>
    <xf numFmtId="14" fontId="0" fillId="4" borderId="0" xfId="0" applyNumberFormat="1" applyFill="1"/>
    <xf numFmtId="22" fontId="0" fillId="4" borderId="0" xfId="0" applyNumberFormat="1" applyFill="1"/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6" borderId="0" xfId="0" applyFont="1" applyFill="1" applyAlignment="1">
      <alignment horizontal="left"/>
    </xf>
    <xf numFmtId="165" fontId="0" fillId="0" borderId="0" xfId="0" applyNumberFormat="1"/>
    <xf numFmtId="0" fontId="6" fillId="0" borderId="0" xfId="0" applyFont="1"/>
    <xf numFmtId="0" fontId="1" fillId="0" borderId="0" xfId="0" applyFont="1" applyAlignment="1">
      <alignment horizontal="left" vertical="center"/>
    </xf>
    <xf numFmtId="0" fontId="3" fillId="7" borderId="0" xfId="0" applyFont="1" applyFill="1" applyAlignment="1">
      <alignment horizontal="center"/>
    </xf>
    <xf numFmtId="0" fontId="3" fillId="8" borderId="0" xfId="0" applyFont="1" applyFill="1"/>
    <xf numFmtId="0" fontId="2" fillId="2" borderId="0" xfId="0" applyFont="1" applyFill="1" applyAlignment="1">
      <alignment horizontal="right"/>
    </xf>
    <xf numFmtId="0" fontId="3" fillId="2" borderId="0" xfId="0" applyFont="1" applyFill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5" borderId="6" xfId="0" applyFill="1" applyBorder="1"/>
    <xf numFmtId="0" fontId="2" fillId="5" borderId="6" xfId="0" applyFont="1" applyFill="1" applyBorder="1"/>
    <xf numFmtId="0" fontId="0" fillId="0" borderId="7" xfId="0" applyBorder="1"/>
    <xf numFmtId="0" fontId="1" fillId="0" borderId="1" xfId="0" applyFont="1" applyBorder="1" applyAlignment="1">
      <alignment horizontal="left" vertical="top"/>
    </xf>
    <xf numFmtId="0" fontId="0" fillId="0" borderId="8" xfId="0" applyBorder="1"/>
    <xf numFmtId="0" fontId="2" fillId="0" borderId="8" xfId="0" applyFont="1" applyBorder="1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vertical="center" wrapText="1"/>
    </xf>
    <xf numFmtId="0" fontId="3" fillId="8" borderId="0" xfId="0" applyFont="1" applyFill="1" applyAlignment="1">
      <alignment horizontal="center"/>
    </xf>
    <xf numFmtId="0" fontId="0" fillId="9" borderId="0" xfId="0" applyFill="1"/>
    <xf numFmtId="0" fontId="1" fillId="9" borderId="0" xfId="0" applyFont="1" applyFill="1"/>
    <xf numFmtId="0" fontId="2" fillId="9" borderId="0" xfId="0" applyFont="1" applyFill="1"/>
    <xf numFmtId="0" fontId="0" fillId="0" borderId="9" xfId="0" applyBorder="1"/>
    <xf numFmtId="0" fontId="3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lgerian"/>
        <family val="5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5AB9E5F-1117-480A-8BAC-6B20B007C3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sh Ah" id="{A5E86BCD-8E70-440B-BDAD-A558F8BB1573}" userId="4ae0e02ad0826be7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B2D7B-8D9B-4F35-8F9F-F44D37C4D377}" name="dns" displayName="dns" ref="A1:M12" totalsRowCount="1" headerRowDxfId="14">
  <autoFilter ref="A1:M11" xr:uid="{385B2D7B-8D9B-4F35-8F9F-F44D37C4D377}"/>
  <tableColumns count="13">
    <tableColumn id="1" xr3:uid="{16D0EFD1-F869-4CC3-92FC-AB38641B3F50}" name="Emolpoyee Id "/>
    <tableColumn id="2" xr3:uid="{C5D4C78A-616F-4B39-B52D-5F4DCF1ACD0A}" name="Name "/>
    <tableColumn id="3" xr3:uid="{D19E729D-BECC-4632-8FE5-2ACC2029B9F3}" name="Department "/>
    <tableColumn id="4" xr3:uid="{E43C0C47-BFDC-47FA-ACFA-FCF399ED3799}" name="Salary" totalsRowFunction="custom" totalsRowDxfId="13">
      <totalsRowFormula>SUM(dns[Salary])</totalsRowFormula>
    </tableColumn>
    <tableColumn id="5" xr3:uid="{30D86775-A673-4F7D-A5C9-C1E4919731EE}" name="Experience "/>
    <tableColumn id="8" xr3:uid="{736528F8-4F9A-4584-889D-786404ED3FC9}" name="proper" dataDxfId="12">
      <calculatedColumnFormula>PROPER(dns[[#This Row],[Trim]])</calculatedColumnFormula>
    </tableColumn>
    <tableColumn id="10" xr3:uid="{4B26D9DC-D470-4A23-8088-F4B447351EBB}" name="Sqrt " dataDxfId="11" totalsRowDxfId="10">
      <calculatedColumnFormula>SQRT(dns[[#This Row],[Emolpoyee Id ]])</calculatedColumnFormula>
    </tableColumn>
    <tableColumn id="11" xr3:uid="{58D86A58-DB30-45A2-8547-668B9634B850}" name="Substitute">
      <calculatedColumnFormula>SUBSTITUTE(dns[[#This Row],[Name ]]," ", "X")</calculatedColumnFormula>
    </tableColumn>
    <tableColumn id="12" xr3:uid="{43EC0294-881F-4638-B035-0B65CB013ED8}" name="Trim">
      <calculatedColumnFormula>TRIM(dns[[#This Row],[Name ]])</calculatedColumnFormula>
    </tableColumn>
    <tableColumn id="13" xr3:uid="{B56FA359-8DD5-4AC5-B07F-837DB4A78EFA}" name="left">
      <calculatedColumnFormula>LEFT(#REF!,3)</calculatedColumnFormula>
    </tableColumn>
    <tableColumn id="14" xr3:uid="{EE64D87B-94CB-470E-9B8A-4AF21CAF15DE}" name="Right ">
      <calculatedColumnFormula>RIGHT(dns[[#This Row],[Name ]],3)</calculatedColumnFormula>
    </tableColumn>
    <tableColumn id="15" xr3:uid="{09234029-9C67-4578-82B4-A2B9314F91CB}" name="count">
      <calculatedColumnFormula>COUNT(dns[[#This Row],[Salary]])</calculatedColumnFormula>
    </tableColumn>
    <tableColumn id="16" xr3:uid="{1B84BF79-50AA-471C-86A0-38F94A177448}" name="Concat">
      <calculatedColumnFormula>_xlfn.CONCAT(dns[[#This Row],[left]]," ",dns[[#This Row],[Emolpoyee Id 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F4EEF0-DDAE-4622-B531-E70B3F05E017}" name="table" displayName="table" ref="C22:L32" totalsRowShown="0" headerRowDxfId="9">
  <autoFilter ref="C22:L32" xr:uid="{49F4EEF0-DDAE-4622-B531-E70B3F05E017}"/>
  <tableColumns count="10">
    <tableColumn id="1" xr3:uid="{E693D71E-D52B-4822-8C0E-CC916C3F0C08}" name="First Name" dataDxfId="8"/>
    <tableColumn id="2" xr3:uid="{2615E36F-56A6-4A22-AADF-0FF30B58ABE5}" name="Last Name" dataDxfId="7"/>
    <tableColumn id="3" xr3:uid="{C31704BF-BC2B-4B48-9D8F-16EEB5D82E36}" name="Department" dataDxfId="6"/>
    <tableColumn id="4" xr3:uid="{47724A7E-4693-49AF-B5BB-F3B33921E1E1}" name="Sales" dataDxfId="5"/>
    <tableColumn id="5" xr3:uid="{F12B91D8-EB26-4B4E-AA4D-22D8EB6C7166}" name="Target Achieved" dataDxfId="4"/>
    <tableColumn id="6" xr3:uid="{B495E348-2A91-411E-A928-2453EC6C21C3}" name="Concat">
      <calculatedColumnFormula>_xlfn.CONCAT(table[[#This Row],[First Name]],", ",table[[#This Row],[Department]])</calculatedColumnFormula>
    </tableColumn>
    <tableColumn id="7" xr3:uid="{8C990AF3-7882-4413-BBA1-0DB879F30943}" name="sales by target">
      <calculatedColumnFormula>_xlfn.CONCAT(F23," ",G23)</calculatedColumnFormula>
    </tableColumn>
    <tableColumn id="8" xr3:uid="{8DDA8F4E-4A48-4A61-B1F6-06530457CA37}" name="Concat 2">
      <calculatedColumnFormula>_xlfn.CONCAT(F23,"-",G23)</calculatedColumnFormula>
    </tableColumn>
    <tableColumn id="9" xr3:uid="{3D98BFC7-9754-4CEB-9C91-9B3392B40FDA}" name="if">
      <calculatedColumnFormula>IF(table[[#This Row],[Sales]]&gt;200, "Target Achived", "Not Achived")</calculatedColumnFormula>
    </tableColumn>
    <tableColumn id="10" xr3:uid="{29C89D12-0BC0-461D-9596-B166A1755F65}" name="ifs">
      <calculatedColumnFormula array="1">_xlfn.IFS(table[[#This Row],[Department]]="HR", "HR dept",table[[#This Row],[Department]]="IT","IT dept",table[[#This Row],[Department]]="finance","finance dept",TRUE,"others")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" dT="2026-07-05T12:08:11.08" personId="{A5E86BCD-8E70-440B-BDAD-A558F8BB1573}" id="{F09D3C46-2354-4510-AD14-293577045576}">
    <text>In Vlookup fun the lookup value is must be 1 st index in second table . Either it vill gave #N/A</text>
  </threadedComment>
  <threadedComment ref="R3" dT="2026-07-05T12:26:13.23" personId="{A5E86BCD-8E70-440B-BDAD-A558F8BB1573}" id="{86BFC016-544D-4C77-8548-556426DE39B6}">
    <text xml:space="preserve">While in Xlookup we can retrive the value of any index left to right or right to left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B0EE281-2647-4806-A57A-D6B935EA8059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wgvQV2dWZ_Oz8tb0yQfQ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A874-EAD8-4301-8866-8C8E5C311D40}">
  <dimension ref="A1:Q20"/>
  <sheetViews>
    <sheetView tabSelected="1" workbookViewId="0">
      <selection activeCell="Q2" sqref="Q2:Q6"/>
    </sheetView>
  </sheetViews>
  <sheetFormatPr defaultRowHeight="14.5" x14ac:dyDescent="0.35"/>
  <cols>
    <col min="1" max="1" width="13.1796875" customWidth="1"/>
    <col min="2" max="2" width="12.26953125" customWidth="1"/>
    <col min="3" max="3" width="12.453125" customWidth="1"/>
    <col min="4" max="4" width="11.08984375" bestFit="1" customWidth="1"/>
    <col min="5" max="5" width="13" customWidth="1"/>
    <col min="6" max="6" width="11" customWidth="1"/>
    <col min="7" max="7" width="11.08984375" customWidth="1"/>
    <col min="9" max="9" width="15.6328125" customWidth="1"/>
    <col min="15" max="15" width="15.36328125" customWidth="1"/>
    <col min="16" max="16" width="14.08984375" customWidth="1"/>
  </cols>
  <sheetData>
    <row r="1" spans="1:17" ht="39" customHeight="1" x14ac:dyDescent="0.35">
      <c r="A1" s="1" t="s">
        <v>0</v>
      </c>
      <c r="B1" s="1" t="s">
        <v>30</v>
      </c>
      <c r="C1" s="1" t="s">
        <v>31</v>
      </c>
      <c r="D1" s="1" t="s">
        <v>2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67</v>
      </c>
      <c r="Q1" s="52" t="s">
        <v>70</v>
      </c>
    </row>
    <row r="2" spans="1:17" x14ac:dyDescent="0.35">
      <c r="A2">
        <v>101</v>
      </c>
      <c r="B2" t="s">
        <v>66</v>
      </c>
      <c r="C2" t="s">
        <v>43</v>
      </c>
      <c r="D2" t="s">
        <v>44</v>
      </c>
      <c r="E2" t="s">
        <v>45</v>
      </c>
      <c r="F2" t="str">
        <f>SUBSTITUTE(D2," ","X")</f>
        <v>XXHR</v>
      </c>
      <c r="G2" t="s">
        <v>63</v>
      </c>
      <c r="H2" t="str" cm="1">
        <f t="array" ref="H2:H6">TRIM(D2:D6)</f>
        <v>HR</v>
      </c>
      <c r="I2" t="str">
        <f>SUBSTITUTE(G2," ","spacing",1)</f>
        <v xml:space="preserve">spacing   HR </v>
      </c>
      <c r="J2" t="str" cm="1">
        <f t="array" ref="J2:J6">LEFT(B2:B6,3)</f>
        <v xml:space="preserve"> Al</v>
      </c>
      <c r="K2" t="str" cm="1">
        <f t="array" ref="K2:K6">RIGHT(C2:C6,3)</f>
        <v xml:space="preserve">h  </v>
      </c>
      <c r="L2" cm="1">
        <f t="array" ref="L2:L6">LEN(J2:J6)</f>
        <v>3</v>
      </c>
      <c r="M2">
        <f>LEN(E2)</f>
        <v>13</v>
      </c>
      <c r="N2" t="str">
        <f>LOWER(B2)</f>
        <v xml:space="preserve"> alice</v>
      </c>
      <c r="O2" t="e" cm="1" vm="1">
        <f t="array" aca="1" ref="O2" ca="1">PROPER(G2:G6)</f>
        <v>#VALUE!</v>
      </c>
      <c r="P2" t="str">
        <f>PROPER(I2)</f>
        <v xml:space="preserve">Spacing   Hr </v>
      </c>
      <c r="Q2" t="str">
        <f>_xlfn.CONCAT(J2," ",A2)</f>
        <v xml:space="preserve"> Al 101</v>
      </c>
    </row>
    <row r="3" spans="1:17" x14ac:dyDescent="0.35">
      <c r="A3">
        <v>102</v>
      </c>
      <c r="B3" t="s">
        <v>46</v>
      </c>
      <c r="C3" t="s">
        <v>47</v>
      </c>
      <c r="D3" t="s">
        <v>48</v>
      </c>
      <c r="E3" t="s">
        <v>49</v>
      </c>
      <c r="F3" t="str" cm="1">
        <f t="array" ref="F3:F6">SUBSTITUTE(D3:D6," ","X",1)</f>
        <v xml:space="preserve">ITX </v>
      </c>
      <c r="G3" t="s">
        <v>64</v>
      </c>
      <c r="H3" t="str">
        <v>IT</v>
      </c>
      <c r="I3" t="str">
        <f>SUBSTITUTE(G3," ","spacing",1)</f>
        <v>spacing      SUB</v>
      </c>
      <c r="J3" t="str">
        <v xml:space="preserve"> Bo</v>
      </c>
      <c r="K3" t="str">
        <v>son</v>
      </c>
      <c r="L3">
        <v>3</v>
      </c>
      <c r="M3">
        <f>LEN(E3)</f>
        <v>14</v>
      </c>
      <c r="N3" t="str">
        <f>LOWER(B3)</f>
        <v xml:space="preserve"> bob</v>
      </c>
      <c r="O3" t="str">
        <f>PROPER(N2)</f>
        <v xml:space="preserve"> Alice</v>
      </c>
      <c r="P3" t="str">
        <f>PROPER(I3)</f>
        <v>Spacing      Sub</v>
      </c>
      <c r="Q3" t="str">
        <f t="shared" ref="Q3:Q6" si="0">_xlfn.CONCAT(J3," ",A3)</f>
        <v xml:space="preserve"> Bo 102</v>
      </c>
    </row>
    <row r="4" spans="1:17" x14ac:dyDescent="0.35">
      <c r="A4">
        <v>103</v>
      </c>
      <c r="B4" t="s">
        <v>7</v>
      </c>
      <c r="C4" t="s">
        <v>50</v>
      </c>
      <c r="D4" t="s">
        <v>17</v>
      </c>
      <c r="E4" t="s">
        <v>51</v>
      </c>
      <c r="F4" t="str">
        <v>Finance</v>
      </c>
      <c r="G4" t="s">
        <v>65</v>
      </c>
      <c r="H4" t="str">
        <v>Finance</v>
      </c>
      <c r="I4" t="str">
        <f>SUBSTITUTE(G4," ","spacing",1)</f>
        <v>spacing         SUN</v>
      </c>
      <c r="J4" t="str">
        <v>Cha</v>
      </c>
      <c r="K4" t="str">
        <v>own</v>
      </c>
      <c r="L4">
        <v>3</v>
      </c>
      <c r="M4">
        <f>LEN(E4)</f>
        <v>14</v>
      </c>
      <c r="N4" t="str">
        <f>LOWER(B4)</f>
        <v>charlie</v>
      </c>
      <c r="O4" t="str">
        <f>PROPER(N4)</f>
        <v>Charlie</v>
      </c>
      <c r="P4" t="str">
        <f>PROPER(I4)</f>
        <v>Spacing         Sun</v>
      </c>
      <c r="Q4" t="str">
        <f t="shared" si="0"/>
        <v>Cha 103</v>
      </c>
    </row>
    <row r="5" spans="1:17" x14ac:dyDescent="0.35">
      <c r="A5">
        <v>104</v>
      </c>
      <c r="B5" t="s">
        <v>52</v>
      </c>
      <c r="C5" t="s">
        <v>53</v>
      </c>
      <c r="D5" t="s">
        <v>16</v>
      </c>
      <c r="E5" t="s">
        <v>54</v>
      </c>
      <c r="F5" t="str">
        <v>IT</v>
      </c>
      <c r="G5" t="str">
        <f>SUBSTITUTE(D5," ", "--", 1)</f>
        <v>IT</v>
      </c>
      <c r="H5" t="str">
        <v>IT</v>
      </c>
      <c r="I5" t="str">
        <f>SUBSTITUTE(G5," ","spacing",1)</f>
        <v>IT</v>
      </c>
      <c r="J5" t="str">
        <v xml:space="preserve"> Da</v>
      </c>
      <c r="K5" t="str">
        <v>ite</v>
      </c>
      <c r="L5">
        <v>3</v>
      </c>
      <c r="M5">
        <f>LEN(E5)</f>
        <v>13</v>
      </c>
      <c r="N5" t="str">
        <f>LOWER(B5)</f>
        <v xml:space="preserve"> david</v>
      </c>
      <c r="O5" t="str">
        <f>PROPER(N5)</f>
        <v xml:space="preserve"> David</v>
      </c>
      <c r="P5" t="str">
        <f>PROPER(I5)</f>
        <v>It</v>
      </c>
      <c r="Q5" t="str">
        <f t="shared" si="0"/>
        <v xml:space="preserve"> Da 104</v>
      </c>
    </row>
    <row r="6" spans="1:17" x14ac:dyDescent="0.35">
      <c r="A6">
        <v>105</v>
      </c>
      <c r="B6" t="s">
        <v>9</v>
      </c>
      <c r="C6" t="s">
        <v>55</v>
      </c>
      <c r="D6" t="s">
        <v>56</v>
      </c>
      <c r="E6" t="s">
        <v>57</v>
      </c>
      <c r="F6" t="str">
        <v>HRX</v>
      </c>
      <c r="G6" t="str">
        <f>SUBSTITUTE(D6," ", "--", 1)</f>
        <v>HR--</v>
      </c>
      <c r="H6" t="str">
        <v>HR</v>
      </c>
      <c r="I6" t="str">
        <f>SUBSTITUTE(G6," ","spacing",1)</f>
        <v>HR--</v>
      </c>
      <c r="J6" t="str">
        <v>Eva</v>
      </c>
      <c r="K6" t="str">
        <v xml:space="preserve">rk </v>
      </c>
      <c r="L6">
        <v>3</v>
      </c>
      <c r="M6">
        <f>LEN(E6)</f>
        <v>14</v>
      </c>
      <c r="N6" t="str">
        <f>LOWER(B6)</f>
        <v>eva</v>
      </c>
      <c r="O6" t="str">
        <f>PROPER(N6)</f>
        <v>Eva</v>
      </c>
      <c r="P6" t="str">
        <f>PROPER(I6)</f>
        <v>Hr--</v>
      </c>
      <c r="Q6" t="str">
        <f t="shared" si="0"/>
        <v>Eva 105</v>
      </c>
    </row>
    <row r="11" spans="1:17" x14ac:dyDescent="0.35">
      <c r="A11" s="28"/>
      <c r="B11" s="28"/>
      <c r="C11" s="28"/>
    </row>
    <row r="12" spans="1:17" ht="15.5" x14ac:dyDescent="0.35">
      <c r="A12" s="28"/>
      <c r="B12" s="29" t="s">
        <v>33</v>
      </c>
      <c r="C12" s="28"/>
    </row>
    <row r="13" spans="1:17" ht="15.5" x14ac:dyDescent="0.35">
      <c r="A13" s="28"/>
      <c r="B13" s="29" t="s">
        <v>58</v>
      </c>
      <c r="C13" s="28"/>
    </row>
    <row r="14" spans="1:17" ht="15.5" x14ac:dyDescent="0.35">
      <c r="A14" s="28"/>
      <c r="B14" s="29" t="s">
        <v>59</v>
      </c>
      <c r="C14" s="28"/>
    </row>
    <row r="15" spans="1:17" ht="15.5" x14ac:dyDescent="0.35">
      <c r="A15" s="28"/>
      <c r="B15" s="29" t="s">
        <v>60</v>
      </c>
      <c r="C15" s="28"/>
    </row>
    <row r="16" spans="1:17" ht="15.5" x14ac:dyDescent="0.35">
      <c r="A16" s="28"/>
      <c r="B16" s="29" t="s">
        <v>61</v>
      </c>
      <c r="C16" s="28"/>
    </row>
    <row r="17" spans="1:3" ht="15.5" x14ac:dyDescent="0.35">
      <c r="A17" s="28"/>
      <c r="B17" s="29" t="s">
        <v>62</v>
      </c>
      <c r="C17" s="28"/>
    </row>
    <row r="18" spans="1:3" x14ac:dyDescent="0.35">
      <c r="A18" s="28"/>
      <c r="B18" s="28"/>
      <c r="C18" s="28"/>
    </row>
    <row r="19" spans="1:3" x14ac:dyDescent="0.35">
      <c r="A19" s="28"/>
      <c r="B19" s="28"/>
      <c r="C19" s="28"/>
    </row>
    <row r="20" spans="1:3" x14ac:dyDescent="0.35">
      <c r="A20" s="28"/>
      <c r="B20" s="28"/>
      <c r="C20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M19" sqref="M19"/>
    </sheetView>
  </sheetViews>
  <sheetFormatPr defaultRowHeight="14.5" x14ac:dyDescent="0.35"/>
  <cols>
    <col min="1" max="1" width="11.54296875" bestFit="1" customWidth="1"/>
    <col min="2" max="2" width="11.6328125" customWidth="1"/>
    <col min="3" max="3" width="11.08984375" bestFit="1" customWidth="1"/>
    <col min="4" max="4" width="9.08984375" customWidth="1"/>
    <col min="5" max="5" width="17.453125" bestFit="1" customWidth="1"/>
    <col min="6" max="6" width="14.81640625" customWidth="1"/>
    <col min="7" max="7" width="15.81640625" customWidth="1"/>
    <col min="8" max="8" width="16.453125" customWidth="1"/>
    <col min="9" max="9" width="17.08984375" customWidth="1"/>
    <col min="10" max="10" width="15.90625" customWidth="1"/>
    <col min="11" max="11" width="16.81640625" customWidth="1"/>
    <col min="15" max="15" width="10.08984375" bestFit="1" customWidth="1"/>
  </cols>
  <sheetData>
    <row r="1" spans="1:15" ht="33.5" customHeight="1" x14ac:dyDescent="0.35">
      <c r="A1" s="1" t="s">
        <v>0</v>
      </c>
      <c r="B1" s="50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O1" s="4"/>
    </row>
    <row r="2" spans="1:15" x14ac:dyDescent="0.35">
      <c r="A2" s="43">
        <v>101</v>
      </c>
      <c r="B2" t="s">
        <v>5</v>
      </c>
      <c r="C2" t="s">
        <v>15</v>
      </c>
      <c r="D2">
        <v>50000</v>
      </c>
      <c r="E2">
        <v>5</v>
      </c>
      <c r="F2" t="str">
        <f>UPPER(B2)</f>
        <v>ALICE</v>
      </c>
      <c r="G2" t="str" cm="1">
        <f t="array" ref="G2:G11">LOWER(B2:B11)</f>
        <v>alice</v>
      </c>
      <c r="H2">
        <f>SQRT(E2)</f>
        <v>2.2360679774997898</v>
      </c>
      <c r="I2">
        <f>POWER(E2,2)</f>
        <v>25</v>
      </c>
      <c r="J2" t="str" cm="1">
        <f t="array" ref="J2:J11">MID(F2:F11,1,3)</f>
        <v>ALI</v>
      </c>
      <c r="K2" s="44" t="str">
        <f>MID(H2,2,5)</f>
        <v>.2360</v>
      </c>
      <c r="M2">
        <v>101</v>
      </c>
      <c r="O2" s="11"/>
    </row>
    <row r="3" spans="1:15" x14ac:dyDescent="0.35">
      <c r="A3" s="43">
        <v>102</v>
      </c>
      <c r="B3" t="s">
        <v>6</v>
      </c>
      <c r="C3" t="s">
        <v>16</v>
      </c>
      <c r="D3">
        <v>60000</v>
      </c>
      <c r="E3">
        <v>3</v>
      </c>
      <c r="F3" t="str">
        <f t="shared" ref="F3:F11" si="0">UPPER(B3)</f>
        <v>BOB</v>
      </c>
      <c r="G3" t="str">
        <v>bob</v>
      </c>
      <c r="H3">
        <f t="shared" ref="H3:H11" si="1">SQRT(E3)</f>
        <v>1.7320508075688772</v>
      </c>
      <c r="I3">
        <f t="shared" ref="I3:I11" si="2">POWER(E3,2)</f>
        <v>9</v>
      </c>
      <c r="J3" t="str">
        <v>BOB</v>
      </c>
      <c r="K3" s="44" t="str">
        <f t="shared" ref="K3:K11" si="3">MID(H3,2,5)</f>
        <v>.7320</v>
      </c>
      <c r="M3">
        <v>102</v>
      </c>
      <c r="O3" s="11"/>
    </row>
    <row r="4" spans="1:15" x14ac:dyDescent="0.35">
      <c r="A4" s="43">
        <v>103</v>
      </c>
      <c r="B4" t="s">
        <v>7</v>
      </c>
      <c r="C4" t="s">
        <v>17</v>
      </c>
      <c r="D4">
        <v>55000</v>
      </c>
      <c r="E4">
        <v>4</v>
      </c>
      <c r="F4" t="str">
        <f t="shared" si="0"/>
        <v>CHARLIE</v>
      </c>
      <c r="G4" t="str">
        <v>charlie</v>
      </c>
      <c r="H4">
        <f t="shared" si="1"/>
        <v>2</v>
      </c>
      <c r="I4">
        <f t="shared" si="2"/>
        <v>16</v>
      </c>
      <c r="J4" t="str">
        <v>CHA</v>
      </c>
      <c r="K4" s="44" t="str">
        <f t="shared" si="3"/>
        <v/>
      </c>
      <c r="M4">
        <v>103</v>
      </c>
      <c r="O4" s="11"/>
    </row>
    <row r="5" spans="1:15" x14ac:dyDescent="0.35">
      <c r="A5" s="43">
        <v>104</v>
      </c>
      <c r="B5" t="s">
        <v>8</v>
      </c>
      <c r="C5" t="s">
        <v>16</v>
      </c>
      <c r="D5">
        <v>70000</v>
      </c>
      <c r="E5">
        <v>6</v>
      </c>
      <c r="F5" t="str">
        <f t="shared" si="0"/>
        <v>DAVID</v>
      </c>
      <c r="G5" t="str">
        <v>david</v>
      </c>
      <c r="H5">
        <f t="shared" si="1"/>
        <v>2.4494897427831779</v>
      </c>
      <c r="I5">
        <f t="shared" si="2"/>
        <v>36</v>
      </c>
      <c r="J5" t="str">
        <v>DAV</v>
      </c>
      <c r="K5" s="44" t="str">
        <f t="shared" si="3"/>
        <v>.4494</v>
      </c>
      <c r="M5">
        <v>104</v>
      </c>
      <c r="O5" s="11"/>
    </row>
    <row r="6" spans="1:15" x14ac:dyDescent="0.35">
      <c r="A6" s="43">
        <v>105</v>
      </c>
      <c r="B6" t="s">
        <v>9</v>
      </c>
      <c r="C6" t="s">
        <v>15</v>
      </c>
      <c r="D6">
        <v>52000</v>
      </c>
      <c r="E6">
        <v>2</v>
      </c>
      <c r="F6" t="str">
        <f t="shared" si="0"/>
        <v>EVA</v>
      </c>
      <c r="G6" t="str">
        <v>eva</v>
      </c>
      <c r="H6">
        <f t="shared" si="1"/>
        <v>1.4142135623730951</v>
      </c>
      <c r="I6">
        <f t="shared" si="2"/>
        <v>4</v>
      </c>
      <c r="J6" t="str">
        <v>EVA</v>
      </c>
      <c r="K6" s="44" t="str">
        <f t="shared" si="3"/>
        <v>.4142</v>
      </c>
      <c r="M6">
        <v>105</v>
      </c>
      <c r="O6" s="11"/>
    </row>
    <row r="7" spans="1:15" x14ac:dyDescent="0.35">
      <c r="A7" s="43">
        <v>106</v>
      </c>
      <c r="B7" t="s">
        <v>10</v>
      </c>
      <c r="C7" t="s">
        <v>17</v>
      </c>
      <c r="D7">
        <v>58000</v>
      </c>
      <c r="E7">
        <v>5</v>
      </c>
      <c r="F7" t="str">
        <f t="shared" si="0"/>
        <v>FRANK</v>
      </c>
      <c r="G7" t="str">
        <v>frank</v>
      </c>
      <c r="H7">
        <f t="shared" si="1"/>
        <v>2.2360679774997898</v>
      </c>
      <c r="I7">
        <f t="shared" si="2"/>
        <v>25</v>
      </c>
      <c r="J7" t="str">
        <v>FRA</v>
      </c>
      <c r="K7" s="44" t="str">
        <f t="shared" si="3"/>
        <v>.2360</v>
      </c>
      <c r="M7">
        <v>106</v>
      </c>
      <c r="O7" s="11"/>
    </row>
    <row r="8" spans="1:15" x14ac:dyDescent="0.35">
      <c r="A8" s="43">
        <v>107</v>
      </c>
      <c r="B8" t="s">
        <v>11</v>
      </c>
      <c r="C8" t="s">
        <v>16</v>
      </c>
      <c r="D8">
        <v>62000</v>
      </c>
      <c r="E8">
        <v>4</v>
      </c>
      <c r="F8" t="str">
        <f t="shared" si="0"/>
        <v>GRACE</v>
      </c>
      <c r="G8" t="str">
        <v>grace</v>
      </c>
      <c r="H8">
        <f t="shared" si="1"/>
        <v>2</v>
      </c>
      <c r="I8">
        <f t="shared" si="2"/>
        <v>16</v>
      </c>
      <c r="J8" t="str">
        <v>GRA</v>
      </c>
      <c r="K8" s="44" t="str">
        <f t="shared" si="3"/>
        <v/>
      </c>
      <c r="M8">
        <v>107</v>
      </c>
      <c r="O8" s="11"/>
    </row>
    <row r="9" spans="1:15" x14ac:dyDescent="0.35">
      <c r="A9" s="43">
        <v>108</v>
      </c>
      <c r="B9" t="s">
        <v>12</v>
      </c>
      <c r="C9" t="s">
        <v>15</v>
      </c>
      <c r="D9">
        <v>53000</v>
      </c>
      <c r="E9">
        <v>3</v>
      </c>
      <c r="F9" t="str">
        <f t="shared" si="0"/>
        <v>HANNAH</v>
      </c>
      <c r="G9" t="str">
        <v>hannah</v>
      </c>
      <c r="H9">
        <f t="shared" si="1"/>
        <v>1.7320508075688772</v>
      </c>
      <c r="I9">
        <f t="shared" si="2"/>
        <v>9</v>
      </c>
      <c r="J9" t="str">
        <v>HAN</v>
      </c>
      <c r="K9" s="44" t="str">
        <f t="shared" si="3"/>
        <v>.7320</v>
      </c>
      <c r="M9">
        <v>108</v>
      </c>
      <c r="O9" s="11"/>
    </row>
    <row r="10" spans="1:15" x14ac:dyDescent="0.35">
      <c r="A10" s="43">
        <v>109</v>
      </c>
      <c r="B10" t="s">
        <v>13</v>
      </c>
      <c r="C10" t="s">
        <v>17</v>
      </c>
      <c r="D10">
        <v>59000</v>
      </c>
      <c r="E10">
        <v>7</v>
      </c>
      <c r="F10" t="str">
        <f t="shared" si="0"/>
        <v>IVAN</v>
      </c>
      <c r="G10" t="str">
        <v>ivan</v>
      </c>
      <c r="H10">
        <f t="shared" si="1"/>
        <v>2.6457513110645907</v>
      </c>
      <c r="I10">
        <f t="shared" si="2"/>
        <v>49</v>
      </c>
      <c r="J10" t="str">
        <v>IVA</v>
      </c>
      <c r="K10" s="44" t="str">
        <f t="shared" si="3"/>
        <v>.6457</v>
      </c>
      <c r="M10">
        <v>109</v>
      </c>
      <c r="O10" s="11"/>
    </row>
    <row r="11" spans="1:15" x14ac:dyDescent="0.35">
      <c r="A11" s="43">
        <v>110</v>
      </c>
      <c r="B11" t="s">
        <v>14</v>
      </c>
      <c r="C11" t="s">
        <v>16</v>
      </c>
      <c r="D11">
        <v>65000</v>
      </c>
      <c r="E11">
        <v>4</v>
      </c>
      <c r="F11" t="str">
        <f t="shared" si="0"/>
        <v>JACK</v>
      </c>
      <c r="G11" t="str">
        <v>jack</v>
      </c>
      <c r="H11">
        <f t="shared" si="1"/>
        <v>2</v>
      </c>
      <c r="I11">
        <f t="shared" si="2"/>
        <v>16</v>
      </c>
      <c r="J11" t="str">
        <v>JAC</v>
      </c>
      <c r="K11" s="44" t="str">
        <f t="shared" si="3"/>
        <v/>
      </c>
      <c r="M11">
        <v>110</v>
      </c>
      <c r="O11" s="11"/>
    </row>
    <row r="12" spans="1:15" x14ac:dyDescent="0.35">
      <c r="A12" s="43"/>
      <c r="E12" s="28"/>
      <c r="F12" s="28"/>
      <c r="H12" t="s">
        <v>29</v>
      </c>
      <c r="K12" s="44"/>
      <c r="M12">
        <f>AVERAGE(M2:M11)</f>
        <v>105.5</v>
      </c>
      <c r="O12" s="11"/>
    </row>
    <row r="13" spans="1:15" x14ac:dyDescent="0.35">
      <c r="A13" s="43"/>
      <c r="E13" s="28"/>
      <c r="F13" s="28"/>
      <c r="K13" s="44"/>
      <c r="M13">
        <f>MIN(M2:M12)</f>
        <v>101</v>
      </c>
      <c r="O13" s="11"/>
    </row>
    <row r="14" spans="1:15" ht="15.5" x14ac:dyDescent="0.35">
      <c r="A14" s="43"/>
      <c r="E14" s="28"/>
      <c r="F14" s="29"/>
      <c r="K14" s="44"/>
      <c r="M14">
        <f>COUNT(M2:M13)</f>
        <v>12</v>
      </c>
      <c r="O14" s="11"/>
    </row>
    <row r="15" spans="1:15" ht="15.5" x14ac:dyDescent="0.35">
      <c r="A15" s="45"/>
      <c r="B15" s="46"/>
      <c r="C15" s="46"/>
      <c r="D15" s="46"/>
      <c r="E15" s="47"/>
      <c r="F15" s="48" t="s">
        <v>18</v>
      </c>
      <c r="G15" s="46"/>
      <c r="H15" s="46"/>
      <c r="I15" s="46"/>
      <c r="J15" s="46"/>
      <c r="K15" s="49"/>
      <c r="O15" s="11"/>
    </row>
    <row r="16" spans="1:15" ht="15.5" x14ac:dyDescent="0.35">
      <c r="E16" s="28"/>
      <c r="F16" s="29" t="s">
        <v>19</v>
      </c>
      <c r="O16" s="11"/>
    </row>
    <row r="17" spans="5:15" ht="15.5" x14ac:dyDescent="0.35">
      <c r="E17" s="28"/>
      <c r="F17" s="29" t="s">
        <v>20</v>
      </c>
      <c r="L17" t="s">
        <v>120</v>
      </c>
      <c r="M17">
        <f>COUNT(I2:I11)</f>
        <v>10</v>
      </c>
      <c r="O17" s="11"/>
    </row>
    <row r="18" spans="5:15" ht="15.5" x14ac:dyDescent="0.35">
      <c r="E18" s="28"/>
      <c r="F18" s="29" t="s">
        <v>21</v>
      </c>
      <c r="L18" t="s">
        <v>121</v>
      </c>
      <c r="M18">
        <f>SUM(M2:M14)</f>
        <v>1273.5</v>
      </c>
      <c r="O18" s="11"/>
    </row>
    <row r="19" spans="5:15" ht="15.5" x14ac:dyDescent="0.35">
      <c r="E19" s="28"/>
      <c r="F19" s="29" t="s">
        <v>22</v>
      </c>
      <c r="M19" t="s">
        <v>29</v>
      </c>
    </row>
    <row r="20" spans="5:15" ht="15.5" x14ac:dyDescent="0.35">
      <c r="E20" s="28"/>
      <c r="F2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A4A2-F820-406F-8F4A-730048895439}">
  <dimension ref="A1:U22"/>
  <sheetViews>
    <sheetView topLeftCell="G1" workbookViewId="0">
      <selection activeCell="T3" sqref="T3"/>
    </sheetView>
  </sheetViews>
  <sheetFormatPr defaultRowHeight="14.5" x14ac:dyDescent="0.35"/>
  <cols>
    <col min="1" max="1" width="12.90625" customWidth="1"/>
    <col min="2" max="2" width="12.26953125" customWidth="1"/>
    <col min="3" max="3" width="11.54296875" customWidth="1"/>
    <col min="4" max="4" width="11.6328125" customWidth="1"/>
    <col min="5" max="5" width="15.26953125" customWidth="1"/>
    <col min="6" max="6" width="12.54296875" customWidth="1"/>
    <col min="7" max="7" width="11.26953125" customWidth="1"/>
    <col min="8" max="8" width="10.453125" customWidth="1"/>
    <col min="17" max="17" width="16.1796875" customWidth="1"/>
  </cols>
  <sheetData>
    <row r="1" spans="1:21" ht="30" customHeight="1" x14ac:dyDescent="0.35">
      <c r="A1" s="55" t="s">
        <v>30</v>
      </c>
      <c r="B1" s="56" t="s">
        <v>31</v>
      </c>
      <c r="C1" s="56" t="s">
        <v>2</v>
      </c>
      <c r="D1" s="56" t="s">
        <v>68</v>
      </c>
      <c r="E1" s="56" t="s">
        <v>69</v>
      </c>
      <c r="F1" s="56" t="s">
        <v>70</v>
      </c>
      <c r="G1" s="56" t="s">
        <v>71</v>
      </c>
      <c r="H1" s="56" t="s">
        <v>72</v>
      </c>
      <c r="I1" s="56" t="s">
        <v>86</v>
      </c>
      <c r="J1" s="56" t="s">
        <v>84</v>
      </c>
      <c r="K1" s="57"/>
      <c r="L1" s="56" t="s">
        <v>87</v>
      </c>
      <c r="M1" s="56" t="s">
        <v>85</v>
      </c>
      <c r="N1" s="57"/>
      <c r="O1" s="56" t="s">
        <v>88</v>
      </c>
      <c r="P1" s="56" t="s">
        <v>89</v>
      </c>
      <c r="Q1" s="56" t="s">
        <v>88</v>
      </c>
      <c r="R1" s="56" t="s">
        <v>90</v>
      </c>
      <c r="S1" s="56"/>
      <c r="T1" s="56" t="s">
        <v>91</v>
      </c>
      <c r="U1" s="51"/>
    </row>
    <row r="2" spans="1:21" x14ac:dyDescent="0.35">
      <c r="A2" s="58" t="s">
        <v>5</v>
      </c>
      <c r="B2" s="3" t="s">
        <v>73</v>
      </c>
      <c r="C2" s="3" t="s">
        <v>15</v>
      </c>
      <c r="D2" s="3">
        <v>150</v>
      </c>
      <c r="E2" s="3" t="s">
        <v>74</v>
      </c>
      <c r="F2" t="str">
        <f>_xlfn.CONCAT(B2," ",C2)</f>
        <v>Smith HR</v>
      </c>
      <c r="G2" t="str">
        <f>_xlfn.CONCAT(D2," ",E2)</f>
        <v>150 Yes</v>
      </c>
      <c r="H2" t="str">
        <f>_xlfn.CONCAT(D2,"-",E2)</f>
        <v>150-Yes</v>
      </c>
      <c r="I2">
        <f>COUNTIF(D2:D11,"&gt;200")</f>
        <v>3</v>
      </c>
      <c r="J2">
        <f>COUNTIF(E2:E11,"no")</f>
        <v>4</v>
      </c>
      <c r="L2" t="str" cm="1">
        <f t="array" ref="L2:L11">IF(D2:D11&gt;200,"true", "False")</f>
        <v>False</v>
      </c>
      <c r="M2" cm="1">
        <f t="array" ref="M2:M11">IF(E2:E11="yes",1,0)</f>
        <v>1</v>
      </c>
      <c r="O2" t="str">
        <f>IF(E2="yes",IF(C2="hr","yes","no"),"Diff Dert")</f>
        <v>yes</v>
      </c>
      <c r="P2">
        <f>COUNTIF(O2:O11,"no")</f>
        <v>5</v>
      </c>
      <c r="Q2" t="str">
        <f>IF(C2="finance",IF(D2&gt;=200,"Achived","Not Achived"),"Not finance")</f>
        <v>Not finance</v>
      </c>
      <c r="R2">
        <f>COUNTIFS(D2:D11,"&gt;150",D2:D11,"&lt;220")</f>
        <v>7</v>
      </c>
      <c r="T2" t="str" cm="1">
        <f t="array" ref="T2:T11">IF(C2:C11="finance",IF(D2:D11&gt;=200,"Achived","Not Achived"),"Diff Dept")</f>
        <v>Diff Dept</v>
      </c>
      <c r="U2" s="44"/>
    </row>
    <row r="3" spans="1:21" x14ac:dyDescent="0.35">
      <c r="A3" s="58" t="s">
        <v>6</v>
      </c>
      <c r="B3" s="3" t="s">
        <v>75</v>
      </c>
      <c r="C3" s="3" t="s">
        <v>16</v>
      </c>
      <c r="D3" s="3">
        <v>200</v>
      </c>
      <c r="E3" s="3" t="s">
        <v>76</v>
      </c>
      <c r="F3" t="str">
        <f t="shared" ref="F3:F11" si="0">_xlfn.CONCAT(B3," ",C3)</f>
        <v>Johnson IT</v>
      </c>
      <c r="G3" t="str">
        <f t="shared" ref="G3:G11" si="1">_xlfn.CONCAT(D3," ",E3)</f>
        <v>200 No</v>
      </c>
      <c r="H3" t="str">
        <f t="shared" ref="H3:H11" si="2">_xlfn.CONCAT(D3,"-",E3)</f>
        <v>200-No</v>
      </c>
      <c r="I3">
        <f t="shared" ref="I3:I11" si="3">COUNTIF(D3:D12,"&gt;200")</f>
        <v>3</v>
      </c>
      <c r="J3">
        <f t="shared" ref="J3:J11" si="4">COUNTIF(E3:E12,"no")</f>
        <v>4</v>
      </c>
      <c r="L3" t="str">
        <v>False</v>
      </c>
      <c r="M3">
        <v>0</v>
      </c>
      <c r="O3" t="str">
        <f>IF(E3="yes",IF(C3="hr","yes","no"),"Diff Dert")</f>
        <v>Diff Dert</v>
      </c>
      <c r="P3">
        <f t="shared" ref="P3:P11" si="5">COUNTIF(O3:O12,"no")</f>
        <v>5</v>
      </c>
      <c r="Q3" t="str">
        <f t="shared" ref="Q3:Q11" si="6">IF(C3="finance",IF(D3&gt;=200,"Achived","Not Achived"),"Not finance")</f>
        <v>Not finance</v>
      </c>
      <c r="R3">
        <f t="shared" ref="R3:R11" si="7">COUNTIFS(D3:D12,"&gt;150",D3:D12,"&lt;220")</f>
        <v>7</v>
      </c>
      <c r="T3" t="str">
        <v>Diff Dept</v>
      </c>
      <c r="U3" s="44"/>
    </row>
    <row r="4" spans="1:21" x14ac:dyDescent="0.35">
      <c r="A4" s="58" t="s">
        <v>7</v>
      </c>
      <c r="B4" s="3" t="s">
        <v>50</v>
      </c>
      <c r="C4" s="3" t="s">
        <v>17</v>
      </c>
      <c r="D4" s="3">
        <v>180</v>
      </c>
      <c r="E4" s="3" t="s">
        <v>74</v>
      </c>
      <c r="F4" t="str">
        <f t="shared" si="0"/>
        <v>Brown Finance</v>
      </c>
      <c r="G4" t="str">
        <f t="shared" si="1"/>
        <v>180 Yes</v>
      </c>
      <c r="H4" t="str">
        <f t="shared" si="2"/>
        <v>180-Yes</v>
      </c>
      <c r="I4">
        <f t="shared" si="3"/>
        <v>3</v>
      </c>
      <c r="J4">
        <f t="shared" si="4"/>
        <v>3</v>
      </c>
      <c r="L4" t="str">
        <v>False</v>
      </c>
      <c r="M4">
        <v>1</v>
      </c>
      <c r="O4" t="str">
        <f t="shared" ref="O4:O11" si="8">IF(E4="yes",IF(C4="hr","yes","no"),"Diff Dert")</f>
        <v>no</v>
      </c>
      <c r="P4">
        <f t="shared" si="5"/>
        <v>5</v>
      </c>
      <c r="Q4" t="str">
        <f t="shared" si="6"/>
        <v>Not Achived</v>
      </c>
      <c r="R4">
        <f t="shared" si="7"/>
        <v>6</v>
      </c>
      <c r="T4" t="str">
        <v>Not Achived</v>
      </c>
      <c r="U4" s="44"/>
    </row>
    <row r="5" spans="1:21" x14ac:dyDescent="0.35">
      <c r="A5" s="58" t="s">
        <v>8</v>
      </c>
      <c r="B5" s="3" t="s">
        <v>77</v>
      </c>
      <c r="C5" s="3" t="s">
        <v>16</v>
      </c>
      <c r="D5" s="6">
        <v>220</v>
      </c>
      <c r="E5" s="3" t="s">
        <v>74</v>
      </c>
      <c r="F5" t="str">
        <f t="shared" si="0"/>
        <v>White IT</v>
      </c>
      <c r="G5" t="str">
        <f t="shared" si="1"/>
        <v>220 Yes</v>
      </c>
      <c r="H5" t="str">
        <f t="shared" si="2"/>
        <v>220-Yes</v>
      </c>
      <c r="I5">
        <f t="shared" si="3"/>
        <v>3</v>
      </c>
      <c r="J5">
        <f t="shared" si="4"/>
        <v>3</v>
      </c>
      <c r="L5" t="str">
        <v>true</v>
      </c>
      <c r="M5">
        <v>1</v>
      </c>
      <c r="O5" t="str">
        <f t="shared" si="8"/>
        <v>no</v>
      </c>
      <c r="P5">
        <f t="shared" si="5"/>
        <v>4</v>
      </c>
      <c r="Q5" t="str">
        <f t="shared" si="6"/>
        <v>Not finance</v>
      </c>
      <c r="R5">
        <f t="shared" si="7"/>
        <v>5</v>
      </c>
      <c r="T5" t="str">
        <v>Diff Dept</v>
      </c>
      <c r="U5" s="44"/>
    </row>
    <row r="6" spans="1:21" x14ac:dyDescent="0.35">
      <c r="A6" s="58" t="s">
        <v>9</v>
      </c>
      <c r="B6" s="3" t="s">
        <v>78</v>
      </c>
      <c r="C6" s="3" t="s">
        <v>15</v>
      </c>
      <c r="D6" s="3">
        <v>170</v>
      </c>
      <c r="E6" s="3" t="s">
        <v>76</v>
      </c>
      <c r="F6" t="str">
        <f t="shared" si="0"/>
        <v>Clark HR</v>
      </c>
      <c r="G6" t="str">
        <f t="shared" si="1"/>
        <v>170 No</v>
      </c>
      <c r="H6" t="str">
        <f t="shared" si="2"/>
        <v>170-No</v>
      </c>
      <c r="I6">
        <f t="shared" si="3"/>
        <v>2</v>
      </c>
      <c r="J6">
        <f t="shared" si="4"/>
        <v>3</v>
      </c>
      <c r="L6" t="str">
        <v>False</v>
      </c>
      <c r="M6">
        <v>0</v>
      </c>
      <c r="O6" t="str">
        <f t="shared" si="8"/>
        <v>Diff Dert</v>
      </c>
      <c r="P6">
        <f t="shared" si="5"/>
        <v>3</v>
      </c>
      <c r="Q6" t="str">
        <f t="shared" si="6"/>
        <v>Not finance</v>
      </c>
      <c r="R6">
        <f t="shared" si="7"/>
        <v>5</v>
      </c>
      <c r="T6" t="str">
        <v>Diff Dept</v>
      </c>
      <c r="U6" s="44"/>
    </row>
    <row r="7" spans="1:21" x14ac:dyDescent="0.35">
      <c r="A7" s="58" t="s">
        <v>10</v>
      </c>
      <c r="B7" s="3" t="s">
        <v>79</v>
      </c>
      <c r="C7" s="3" t="s">
        <v>17</v>
      </c>
      <c r="D7" s="6">
        <v>210</v>
      </c>
      <c r="E7" s="3" t="s">
        <v>74</v>
      </c>
      <c r="F7" t="str">
        <f t="shared" si="0"/>
        <v>Taylor Finance</v>
      </c>
      <c r="G7" t="str">
        <f t="shared" si="1"/>
        <v>210 Yes</v>
      </c>
      <c r="H7" t="str">
        <f t="shared" si="2"/>
        <v>210-Yes</v>
      </c>
      <c r="I7">
        <f t="shared" si="3"/>
        <v>2</v>
      </c>
      <c r="J7">
        <f t="shared" si="4"/>
        <v>2</v>
      </c>
      <c r="L7" t="str">
        <v>true</v>
      </c>
      <c r="M7">
        <v>1</v>
      </c>
      <c r="O7" t="str">
        <f t="shared" si="8"/>
        <v>no</v>
      </c>
      <c r="P7">
        <f t="shared" si="5"/>
        <v>3</v>
      </c>
      <c r="Q7" t="str">
        <f t="shared" si="6"/>
        <v>Achived</v>
      </c>
      <c r="R7">
        <f t="shared" si="7"/>
        <v>4</v>
      </c>
      <c r="T7" t="str">
        <v>Achived</v>
      </c>
      <c r="U7" s="44"/>
    </row>
    <row r="8" spans="1:21" x14ac:dyDescent="0.35">
      <c r="A8" s="58" t="s">
        <v>11</v>
      </c>
      <c r="B8" s="3" t="s">
        <v>80</v>
      </c>
      <c r="C8" s="3" t="s">
        <v>16</v>
      </c>
      <c r="D8" s="6">
        <v>230</v>
      </c>
      <c r="E8" s="3" t="s">
        <v>74</v>
      </c>
      <c r="F8" t="str">
        <f t="shared" si="0"/>
        <v>Evans IT</v>
      </c>
      <c r="G8" t="str">
        <f t="shared" si="1"/>
        <v>230 Yes</v>
      </c>
      <c r="H8" t="str">
        <f t="shared" si="2"/>
        <v>230-Yes</v>
      </c>
      <c r="I8">
        <f t="shared" si="3"/>
        <v>1</v>
      </c>
      <c r="J8">
        <f t="shared" si="4"/>
        <v>2</v>
      </c>
      <c r="L8" t="str">
        <v>true</v>
      </c>
      <c r="M8">
        <v>1</v>
      </c>
      <c r="O8" t="str">
        <f t="shared" si="8"/>
        <v>no</v>
      </c>
      <c r="P8">
        <f t="shared" si="5"/>
        <v>2</v>
      </c>
      <c r="Q8" t="str">
        <f t="shared" si="6"/>
        <v>Not finance</v>
      </c>
      <c r="R8">
        <f t="shared" si="7"/>
        <v>3</v>
      </c>
      <c r="T8" t="str">
        <v>Diff Dept</v>
      </c>
      <c r="U8" s="44"/>
    </row>
    <row r="9" spans="1:21" x14ac:dyDescent="0.35">
      <c r="A9" s="58" t="s">
        <v>12</v>
      </c>
      <c r="B9" s="3" t="s">
        <v>81</v>
      </c>
      <c r="C9" s="3" t="s">
        <v>15</v>
      </c>
      <c r="D9" s="3">
        <v>160</v>
      </c>
      <c r="E9" s="3" t="s">
        <v>76</v>
      </c>
      <c r="F9" t="str">
        <f t="shared" si="0"/>
        <v>Martin HR</v>
      </c>
      <c r="G9" t="str">
        <f t="shared" si="1"/>
        <v>160 No</v>
      </c>
      <c r="H9" t="str">
        <f t="shared" si="2"/>
        <v>160-No</v>
      </c>
      <c r="I9">
        <f t="shared" si="3"/>
        <v>0</v>
      </c>
      <c r="J9">
        <f t="shared" si="4"/>
        <v>2</v>
      </c>
      <c r="L9" t="str">
        <v>False</v>
      </c>
      <c r="M9">
        <v>0</v>
      </c>
      <c r="O9" t="str">
        <f t="shared" si="8"/>
        <v>Diff Dert</v>
      </c>
      <c r="P9">
        <f t="shared" si="5"/>
        <v>1</v>
      </c>
      <c r="Q9" t="str">
        <f t="shared" si="6"/>
        <v>Not finance</v>
      </c>
      <c r="R9">
        <f t="shared" si="7"/>
        <v>3</v>
      </c>
      <c r="T9" t="str">
        <v>Diff Dept</v>
      </c>
      <c r="U9" s="44"/>
    </row>
    <row r="10" spans="1:21" x14ac:dyDescent="0.35">
      <c r="A10" s="58" t="s">
        <v>13</v>
      </c>
      <c r="B10" s="3" t="s">
        <v>82</v>
      </c>
      <c r="C10" s="3" t="s">
        <v>17</v>
      </c>
      <c r="D10" s="3">
        <v>200</v>
      </c>
      <c r="E10" s="3" t="s">
        <v>74</v>
      </c>
      <c r="F10" t="str">
        <f t="shared" si="0"/>
        <v>Lee Finance</v>
      </c>
      <c r="G10" t="str">
        <f t="shared" si="1"/>
        <v>200 Yes</v>
      </c>
      <c r="H10" t="str">
        <f t="shared" si="2"/>
        <v>200-Yes</v>
      </c>
      <c r="I10">
        <f t="shared" si="3"/>
        <v>0</v>
      </c>
      <c r="J10">
        <f t="shared" si="4"/>
        <v>1</v>
      </c>
      <c r="L10" t="str">
        <v>False</v>
      </c>
      <c r="M10">
        <v>1</v>
      </c>
      <c r="O10" t="str">
        <f t="shared" si="8"/>
        <v>no</v>
      </c>
      <c r="P10">
        <f t="shared" si="5"/>
        <v>1</v>
      </c>
      <c r="Q10" t="str">
        <f t="shared" si="6"/>
        <v>Achived</v>
      </c>
      <c r="R10">
        <f t="shared" si="7"/>
        <v>2</v>
      </c>
      <c r="T10" t="str">
        <v>Achived</v>
      </c>
      <c r="U10" s="44"/>
    </row>
    <row r="11" spans="1:21" x14ac:dyDescent="0.35">
      <c r="A11" s="58" t="s">
        <v>14</v>
      </c>
      <c r="B11" s="3" t="s">
        <v>83</v>
      </c>
      <c r="C11" s="3" t="s">
        <v>16</v>
      </c>
      <c r="D11" s="3">
        <v>190</v>
      </c>
      <c r="E11" s="3" t="s">
        <v>76</v>
      </c>
      <c r="F11" t="str">
        <f t="shared" si="0"/>
        <v>Walker IT</v>
      </c>
      <c r="G11" t="str">
        <f t="shared" si="1"/>
        <v>190 No</v>
      </c>
      <c r="H11" t="str">
        <f t="shared" si="2"/>
        <v>190-No</v>
      </c>
      <c r="I11">
        <f t="shared" si="3"/>
        <v>0</v>
      </c>
      <c r="J11">
        <f t="shared" si="4"/>
        <v>1</v>
      </c>
      <c r="L11" t="str">
        <v>False</v>
      </c>
      <c r="M11">
        <v>0</v>
      </c>
      <c r="O11" t="str">
        <f t="shared" si="8"/>
        <v>Diff Dert</v>
      </c>
      <c r="P11">
        <f t="shared" si="5"/>
        <v>0</v>
      </c>
      <c r="Q11" t="str">
        <f t="shared" si="6"/>
        <v>Not finance</v>
      </c>
      <c r="R11">
        <f t="shared" si="7"/>
        <v>1</v>
      </c>
      <c r="T11" t="str">
        <v>Diff Dept</v>
      </c>
      <c r="U11" s="44"/>
    </row>
    <row r="12" spans="1:21" x14ac:dyDescent="0.35">
      <c r="A12" s="43"/>
      <c r="P12">
        <f>COUNT(O12:O21,yes)</f>
        <v>0</v>
      </c>
      <c r="U12" s="44"/>
    </row>
    <row r="13" spans="1:21" x14ac:dyDescent="0.35">
      <c r="A13" s="43"/>
      <c r="U13" s="44"/>
    </row>
    <row r="14" spans="1:21" x14ac:dyDescent="0.35">
      <c r="A14" s="43"/>
      <c r="U14" s="44"/>
    </row>
    <row r="15" spans="1:21" x14ac:dyDescent="0.35">
      <c r="A15" s="43"/>
      <c r="C15" s="28"/>
      <c r="D15" s="28"/>
      <c r="U15" s="44"/>
    </row>
    <row r="16" spans="1:21" ht="15.5" x14ac:dyDescent="0.35">
      <c r="A16" s="43"/>
      <c r="C16" s="28"/>
      <c r="D16" s="29" t="s">
        <v>70</v>
      </c>
      <c r="U16" s="44"/>
    </row>
    <row r="17" spans="1:21" ht="15.5" x14ac:dyDescent="0.35">
      <c r="A17" s="43"/>
      <c r="C17" s="28"/>
      <c r="D17" s="29" t="s">
        <v>84</v>
      </c>
      <c r="U17" s="44"/>
    </row>
    <row r="18" spans="1:21" ht="15.5" x14ac:dyDescent="0.35">
      <c r="A18" s="43"/>
      <c r="C18" s="28"/>
      <c r="D18" s="29" t="s">
        <v>85</v>
      </c>
      <c r="U18" s="44"/>
    </row>
    <row r="19" spans="1:21" ht="15.5" x14ac:dyDescent="0.35">
      <c r="A19" s="43"/>
      <c r="C19" s="28"/>
      <c r="D19" s="29" t="s">
        <v>107</v>
      </c>
      <c r="U19" s="44"/>
    </row>
    <row r="20" spans="1:21" x14ac:dyDescent="0.35">
      <c r="A20" s="43"/>
      <c r="C20" s="28"/>
      <c r="D20" s="28"/>
      <c r="U20" s="44"/>
    </row>
    <row r="21" spans="1:21" x14ac:dyDescent="0.35">
      <c r="A21" s="43"/>
      <c r="C21" s="28"/>
      <c r="D21" s="28"/>
      <c r="U21" s="44"/>
    </row>
    <row r="22" spans="1:21" x14ac:dyDescent="0.3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2717-9033-49F8-B56C-E634B8353E12}">
  <sheetPr>
    <tabColor rgb="FFFFFF00"/>
  </sheetPr>
  <dimension ref="A1:R45"/>
  <sheetViews>
    <sheetView topLeftCell="C25" zoomScaleNormal="100" workbookViewId="0">
      <selection activeCell="H48" sqref="H48"/>
    </sheetView>
  </sheetViews>
  <sheetFormatPr defaultRowHeight="14.5" x14ac:dyDescent="0.35"/>
  <cols>
    <col min="1" max="1" width="15.453125" customWidth="1"/>
    <col min="2" max="2" width="11.26953125" bestFit="1" customWidth="1"/>
    <col min="3" max="3" width="16.90625" bestFit="1" customWidth="1"/>
    <col min="4" max="4" width="11.81640625" bestFit="1" customWidth="1"/>
    <col min="5" max="5" width="13.26953125" customWidth="1"/>
    <col min="6" max="6" width="12.54296875" customWidth="1"/>
    <col min="7" max="7" width="16.1796875" customWidth="1"/>
    <col min="8" max="8" width="14" bestFit="1" customWidth="1"/>
    <col min="9" max="9" width="17.54296875" bestFit="1" customWidth="1"/>
    <col min="10" max="10" width="11.26953125" customWidth="1"/>
    <col min="11" max="11" width="13.1796875" bestFit="1" customWidth="1"/>
    <col min="12" max="12" width="11.26953125" customWidth="1"/>
    <col min="13" max="13" width="13.1796875" bestFit="1" customWidth="1"/>
    <col min="14" max="14" width="13.26953125" bestFit="1" customWidth="1"/>
    <col min="15" max="18" width="11.26953125" customWidth="1"/>
  </cols>
  <sheetData>
    <row r="1" spans="1:13" ht="15.5" x14ac:dyDescent="0.35">
      <c r="A1" s="35" t="s">
        <v>155</v>
      </c>
      <c r="B1" s="35" t="s">
        <v>148</v>
      </c>
      <c r="C1" s="35" t="s">
        <v>156</v>
      </c>
      <c r="D1" s="35" t="s">
        <v>3</v>
      </c>
      <c r="E1" s="35" t="s">
        <v>157</v>
      </c>
      <c r="F1" s="35" t="s">
        <v>167</v>
      </c>
      <c r="G1" s="35" t="s">
        <v>168</v>
      </c>
      <c r="H1" s="35" t="s">
        <v>33</v>
      </c>
      <c r="I1" s="35" t="s">
        <v>35</v>
      </c>
      <c r="J1" s="35" t="s">
        <v>58</v>
      </c>
      <c r="K1" s="35" t="s">
        <v>172</v>
      </c>
      <c r="L1" s="35" t="s">
        <v>173</v>
      </c>
      <c r="M1" s="35" t="s">
        <v>70</v>
      </c>
    </row>
    <row r="2" spans="1:13" x14ac:dyDescent="0.35">
      <c r="A2">
        <v>101</v>
      </c>
      <c r="B2" t="s">
        <v>169</v>
      </c>
      <c r="C2" t="s">
        <v>16</v>
      </c>
      <c r="D2">
        <v>5000</v>
      </c>
      <c r="E2">
        <v>1</v>
      </c>
      <c r="F2" t="str">
        <f>PROPER(dns[[#This Row],[Trim]])</f>
        <v>Danish</v>
      </c>
      <c r="G2" s="36">
        <f>SQRT(dns[[#This Row],[Emolpoyee Id ]])</f>
        <v>10.04987562112089</v>
      </c>
      <c r="H2" t="str">
        <f>SUBSTITUTE(dns[[#This Row],[Name ]]," ", "X")</f>
        <v>XXDanish</v>
      </c>
      <c r="I2" t="str">
        <f>TRIM(dns[[#This Row],[Name ]])</f>
        <v>Danish</v>
      </c>
      <c r="J2" t="str">
        <f>LEFT(dns[[#This Row],[proper]],3)</f>
        <v>Dan</v>
      </c>
      <c r="K2" t="str">
        <f>RIGHT(dns[[#This Row],[Name ]],3)</f>
        <v>ish</v>
      </c>
      <c r="L2">
        <f>COUNT(dns[[#This Row],[Salary]])</f>
        <v>1</v>
      </c>
      <c r="M2" t="str">
        <f>_xlfn.CONCAT(dns[[#This Row],[left]]," ",dns[[#This Row],[Emolpoyee Id ]])</f>
        <v>Dan 101</v>
      </c>
    </row>
    <row r="3" spans="1:13" x14ac:dyDescent="0.35">
      <c r="A3">
        <v>102</v>
      </c>
      <c r="B3" t="s">
        <v>170</v>
      </c>
      <c r="C3" t="s">
        <v>164</v>
      </c>
      <c r="D3">
        <v>4000</v>
      </c>
      <c r="E3">
        <v>1</v>
      </c>
      <c r="F3" t="str">
        <f>PROPER(dns[[#This Row],[Trim]])</f>
        <v>Anam</v>
      </c>
      <c r="G3" s="36">
        <f>SQRT(dns[[#This Row],[Emolpoyee Id ]])</f>
        <v>10.099504938362077</v>
      </c>
      <c r="H3" t="str">
        <f>SUBSTITUTE(dns[[#This Row],[Name ]]," ", "X")</f>
        <v>AnamXX</v>
      </c>
      <c r="I3" t="str">
        <f>TRIM(dns[[#This Row],[Name ]])</f>
        <v>Anam</v>
      </c>
      <c r="J3" t="str">
        <f>LEFT(dns[[#This Row],[proper]],3)</f>
        <v>Ana</v>
      </c>
      <c r="K3" t="str">
        <f>RIGHT(dns[[#This Row],[Name ]],3)</f>
        <v xml:space="preserve">m  </v>
      </c>
      <c r="L3">
        <f>COUNT(dns[[#This Row],[Salary]])</f>
        <v>1</v>
      </c>
      <c r="M3" t="str">
        <f>_xlfn.CONCAT(dns[[#This Row],[left]]," ",dns[[#This Row],[Emolpoyee Id ]])</f>
        <v>Ana 102</v>
      </c>
    </row>
    <row r="4" spans="1:13" x14ac:dyDescent="0.35">
      <c r="A4">
        <v>103</v>
      </c>
      <c r="B4" t="s">
        <v>158</v>
      </c>
      <c r="C4" t="s">
        <v>16</v>
      </c>
      <c r="D4">
        <v>10000</v>
      </c>
      <c r="E4">
        <v>2</v>
      </c>
      <c r="F4" t="str">
        <f>PROPER(dns[[#This Row],[Trim]])</f>
        <v>Suman</v>
      </c>
      <c r="G4" s="36">
        <f>SQRT(dns[[#This Row],[Emolpoyee Id ]])</f>
        <v>10.148891565092219</v>
      </c>
      <c r="H4" t="str">
        <f>SUBSTITUTE(dns[[#This Row],[Name ]]," ", "X")</f>
        <v>Suman</v>
      </c>
      <c r="I4" t="str">
        <f>TRIM(dns[[#This Row],[Name ]])</f>
        <v>Suman</v>
      </c>
      <c r="J4" t="str">
        <f>LEFT(dns[[#This Row],[proper]],3)</f>
        <v>Sum</v>
      </c>
      <c r="K4" t="str">
        <f>RIGHT(dns[[#This Row],[Name ]],3)</f>
        <v>man</v>
      </c>
      <c r="L4">
        <f>COUNT(dns[[#This Row],[Salary]])</f>
        <v>1</v>
      </c>
      <c r="M4" t="str">
        <f>_xlfn.CONCAT(dns[[#This Row],[left]]," ",dns[[#This Row],[Emolpoyee Id ]])</f>
        <v>Sum 103</v>
      </c>
    </row>
    <row r="5" spans="1:13" x14ac:dyDescent="0.35">
      <c r="A5">
        <v>104</v>
      </c>
      <c r="B5" t="s">
        <v>171</v>
      </c>
      <c r="C5" t="s">
        <v>164</v>
      </c>
      <c r="D5">
        <v>12000</v>
      </c>
      <c r="E5">
        <v>3</v>
      </c>
      <c r="F5" t="str">
        <f>PROPER(dns[[#This Row],[Trim]])</f>
        <v>Satish</v>
      </c>
      <c r="G5" s="36">
        <f>SQRT(dns[[#This Row],[Emolpoyee Id ]])</f>
        <v>10.198039027185569</v>
      </c>
      <c r="H5" t="str">
        <f>SUBSTITUTE(dns[[#This Row],[Name ]]," ", "X")</f>
        <v>XSatish</v>
      </c>
      <c r="I5" t="str">
        <f>TRIM(dns[[#This Row],[Name ]])</f>
        <v>Satish</v>
      </c>
      <c r="J5" t="str">
        <f>LEFT(dns[[#This Row],[proper]],3)</f>
        <v>Sat</v>
      </c>
      <c r="K5" t="str">
        <f>RIGHT(dns[[#This Row],[Name ]],3)</f>
        <v>ish</v>
      </c>
      <c r="L5">
        <f>COUNT(dns[[#This Row],[Salary]])</f>
        <v>1</v>
      </c>
      <c r="M5" t="str">
        <f>_xlfn.CONCAT(dns[[#This Row],[left]]," ",dns[[#This Row],[Emolpoyee Id ]])</f>
        <v>Sat 104</v>
      </c>
    </row>
    <row r="6" spans="1:13" x14ac:dyDescent="0.35">
      <c r="A6">
        <v>105</v>
      </c>
      <c r="B6" t="s">
        <v>159</v>
      </c>
      <c r="C6" t="s">
        <v>165</v>
      </c>
      <c r="D6">
        <v>15000</v>
      </c>
      <c r="E6">
        <v>2</v>
      </c>
      <c r="F6" t="str">
        <f>PROPER(dns[[#This Row],[Trim]])</f>
        <v>Suresh</v>
      </c>
      <c r="G6" s="36">
        <f>SQRT(dns[[#This Row],[Emolpoyee Id ]])</f>
        <v>10.246950765959598</v>
      </c>
      <c r="H6" t="str">
        <f>SUBSTITUTE(dns[[#This Row],[Name ]]," ", "X")</f>
        <v>Suresh</v>
      </c>
      <c r="I6" t="str">
        <f>TRIM(dns[[#This Row],[Name ]])</f>
        <v>Suresh</v>
      </c>
      <c r="J6" t="str">
        <f>LEFT(dns[[#This Row],[proper]],3)</f>
        <v>Sur</v>
      </c>
      <c r="K6" t="str">
        <f>RIGHT(dns[[#This Row],[Name ]],3)</f>
        <v>esh</v>
      </c>
      <c r="L6">
        <f>COUNT(dns[[#This Row],[Salary]])</f>
        <v>1</v>
      </c>
      <c r="M6" t="str">
        <f>_xlfn.CONCAT(dns[[#This Row],[left]]," ",dns[[#This Row],[Emolpoyee Id ]])</f>
        <v>Sur 105</v>
      </c>
    </row>
    <row r="7" spans="1:13" x14ac:dyDescent="0.35">
      <c r="A7">
        <v>106</v>
      </c>
      <c r="B7" t="s">
        <v>160</v>
      </c>
      <c r="C7" t="s">
        <v>165</v>
      </c>
      <c r="D7">
        <v>10000</v>
      </c>
      <c r="E7">
        <v>2</v>
      </c>
      <c r="F7" t="str">
        <f>PROPER(dns[[#This Row],[Trim]])</f>
        <v>Faiz</v>
      </c>
      <c r="G7" s="36">
        <f>SQRT(dns[[#This Row],[Emolpoyee Id ]])</f>
        <v>10.295630140987001</v>
      </c>
      <c r="H7" t="str">
        <f>SUBSTITUTE(dns[[#This Row],[Name ]]," ", "X")</f>
        <v>Faiz</v>
      </c>
      <c r="I7" t="str">
        <f>TRIM(dns[[#This Row],[Name ]])</f>
        <v>Faiz</v>
      </c>
      <c r="J7" t="str">
        <f>LEFT(dns[[#This Row],[proper]],3)</f>
        <v>Fai</v>
      </c>
      <c r="K7" t="str">
        <f>RIGHT(dns[[#This Row],[Name ]],3)</f>
        <v>aiz</v>
      </c>
      <c r="L7">
        <f>COUNT(dns[[#This Row],[Salary]])</f>
        <v>1</v>
      </c>
      <c r="M7" t="str">
        <f>_xlfn.CONCAT(dns[[#This Row],[left]]," ",dns[[#This Row],[Emolpoyee Id ]])</f>
        <v>Fai 106</v>
      </c>
    </row>
    <row r="8" spans="1:13" x14ac:dyDescent="0.35">
      <c r="A8">
        <v>107</v>
      </c>
      <c r="B8" t="s">
        <v>161</v>
      </c>
      <c r="C8" t="s">
        <v>166</v>
      </c>
      <c r="D8">
        <v>12500</v>
      </c>
      <c r="E8">
        <v>1</v>
      </c>
      <c r="F8" t="str">
        <f>PROPER(dns[[#This Row],[Trim]])</f>
        <v>Naiz</v>
      </c>
      <c r="G8" s="36">
        <f>SQRT(dns[[#This Row],[Emolpoyee Id ]])</f>
        <v>10.344080432788601</v>
      </c>
      <c r="H8" t="str">
        <f>SUBSTITUTE(dns[[#This Row],[Name ]]," ", "X")</f>
        <v>Naiz</v>
      </c>
      <c r="I8" t="str">
        <f>TRIM(dns[[#This Row],[Name ]])</f>
        <v>Naiz</v>
      </c>
      <c r="J8" t="str">
        <f>LEFT(dns[[#This Row],[proper]],3)</f>
        <v>Nai</v>
      </c>
      <c r="K8" t="str">
        <f>RIGHT(dns[[#This Row],[Name ]],3)</f>
        <v>aiz</v>
      </c>
      <c r="L8">
        <f>COUNT(dns[[#This Row],[Salary]])</f>
        <v>1</v>
      </c>
      <c r="M8" t="str">
        <f>_xlfn.CONCAT(dns[[#This Row],[left]]," ",dns[[#This Row],[Emolpoyee Id ]])</f>
        <v>Nai 107</v>
      </c>
    </row>
    <row r="9" spans="1:13" x14ac:dyDescent="0.35">
      <c r="A9">
        <v>108</v>
      </c>
      <c r="B9" s="34" t="s">
        <v>162</v>
      </c>
      <c r="C9" t="s">
        <v>165</v>
      </c>
      <c r="D9">
        <v>12400</v>
      </c>
      <c r="E9">
        <v>1</v>
      </c>
      <c r="F9" t="str">
        <f>PROPER(dns[[#This Row],[Trim]])</f>
        <v>Leyoin</v>
      </c>
      <c r="G9" s="36">
        <f>SQRT(dns[[#This Row],[Emolpoyee Id ]])</f>
        <v>10.392304845413264</v>
      </c>
      <c r="H9" t="str">
        <f>SUBSTITUTE(dns[[#This Row],[Name ]]," ", "X")</f>
        <v>Leyoin</v>
      </c>
      <c r="I9" t="str">
        <f>TRIM(dns[[#This Row],[Name ]])</f>
        <v>Leyoin</v>
      </c>
      <c r="J9" t="str">
        <f>LEFT(dns[[#This Row],[proper]],3)</f>
        <v>Ley</v>
      </c>
      <c r="K9" t="str">
        <f>RIGHT(dns[[#This Row],[Name ]],3)</f>
        <v>oin</v>
      </c>
      <c r="L9">
        <f>COUNT(dns[[#This Row],[Salary]])</f>
        <v>1</v>
      </c>
      <c r="M9" t="str">
        <f>_xlfn.CONCAT(dns[[#This Row],[left]]," ",dns[[#This Row],[Emolpoyee Id ]])</f>
        <v>Ley 108</v>
      </c>
    </row>
    <row r="10" spans="1:13" x14ac:dyDescent="0.35">
      <c r="A10">
        <v>109</v>
      </c>
      <c r="B10" t="s">
        <v>163</v>
      </c>
      <c r="C10" t="s">
        <v>166</v>
      </c>
      <c r="D10">
        <v>11000</v>
      </c>
      <c r="E10">
        <v>2</v>
      </c>
      <c r="F10" t="str">
        <f>PROPER(dns[[#This Row],[Trim]])</f>
        <v>Kalam</v>
      </c>
      <c r="G10" s="36">
        <f>SQRT(dns[[#This Row],[Emolpoyee Id ]])</f>
        <v>10.440306508910551</v>
      </c>
      <c r="H10" t="str">
        <f>SUBSTITUTE(dns[[#This Row],[Name ]]," ", "X")</f>
        <v>Kalam</v>
      </c>
      <c r="I10" t="str">
        <f>TRIM(dns[[#This Row],[Name ]])</f>
        <v>Kalam</v>
      </c>
      <c r="J10" t="str">
        <f>LEFT(dns[[#This Row],[proper]],3)</f>
        <v>Kal</v>
      </c>
      <c r="K10" t="str">
        <f>RIGHT(dns[[#This Row],[Name ]],3)</f>
        <v>lam</v>
      </c>
      <c r="L10">
        <f>COUNT(dns[[#This Row],[Salary]])</f>
        <v>1</v>
      </c>
      <c r="M10" t="str">
        <f>_xlfn.CONCAT(dns[[#This Row],[left]]," ",dns[[#This Row],[Emolpoyee Id ]])</f>
        <v>Kal 109</v>
      </c>
    </row>
    <row r="11" spans="1:13" x14ac:dyDescent="0.35">
      <c r="A11">
        <v>110</v>
      </c>
      <c r="B11" t="s">
        <v>163</v>
      </c>
      <c r="C11" t="s">
        <v>165</v>
      </c>
      <c r="D11">
        <v>10000</v>
      </c>
      <c r="E11">
        <v>1</v>
      </c>
      <c r="F11" t="str">
        <f>PROPER(dns[[#This Row],[Trim]])</f>
        <v>Kalam</v>
      </c>
      <c r="G11" s="36">
        <f>SQRT(dns[[#This Row],[Emolpoyee Id ]])</f>
        <v>10.488088481701515</v>
      </c>
      <c r="H11" t="str">
        <f>SUBSTITUTE(dns[[#This Row],[Name ]]," ", "X")</f>
        <v>Kalam</v>
      </c>
      <c r="I11" t="str">
        <f>TRIM(dns[[#This Row],[Name ]])</f>
        <v>Kalam</v>
      </c>
      <c r="J11" t="str">
        <f>LEFT(dns[[#This Row],[proper]],3)</f>
        <v>Kal</v>
      </c>
      <c r="K11" t="str">
        <f>RIGHT(dns[[#This Row],[Name ]],3)</f>
        <v>lam</v>
      </c>
      <c r="L11">
        <f>COUNT(dns[[#This Row],[Salary]])</f>
        <v>1</v>
      </c>
      <c r="M11" t="str">
        <f>_xlfn.CONCAT(dns[[#This Row],[left]]," ",dns[[#This Row],[Emolpoyee Id ]])</f>
        <v>Kal 110</v>
      </c>
    </row>
    <row r="12" spans="1:13" ht="17" x14ac:dyDescent="0.4">
      <c r="D12" s="37">
        <f>SUM(dns[Salary])</f>
        <v>101900</v>
      </c>
      <c r="G12" s="36"/>
    </row>
    <row r="20" spans="1:18" ht="18.5" x14ac:dyDescent="0.45">
      <c r="N20" s="10" t="s">
        <v>180</v>
      </c>
    </row>
    <row r="22" spans="1:18" ht="18.5" x14ac:dyDescent="0.45">
      <c r="C22" s="38" t="s">
        <v>30</v>
      </c>
      <c r="D22" s="38" t="s">
        <v>31</v>
      </c>
      <c r="E22" s="38" t="s">
        <v>2</v>
      </c>
      <c r="F22" s="38" t="s">
        <v>68</v>
      </c>
      <c r="G22" s="38" t="s">
        <v>69</v>
      </c>
      <c r="H22" s="38" t="s">
        <v>70</v>
      </c>
      <c r="I22" s="38" t="s">
        <v>174</v>
      </c>
      <c r="J22" s="38" t="s">
        <v>72</v>
      </c>
      <c r="K22" s="38" t="s">
        <v>85</v>
      </c>
      <c r="L22" s="38" t="s">
        <v>179</v>
      </c>
      <c r="M22" s="42" t="s">
        <v>85</v>
      </c>
      <c r="N22" s="42" t="s">
        <v>178</v>
      </c>
      <c r="O22" s="42" t="s">
        <v>179</v>
      </c>
      <c r="Q22" s="42" t="s">
        <v>104</v>
      </c>
    </row>
    <row r="23" spans="1:18" x14ac:dyDescent="0.35">
      <c r="C23" s="3" t="s">
        <v>5</v>
      </c>
      <c r="D23" s="3" t="s">
        <v>73</v>
      </c>
      <c r="E23" s="3" t="s">
        <v>15</v>
      </c>
      <c r="F23" s="3">
        <v>150</v>
      </c>
      <c r="G23" s="3" t="s">
        <v>74</v>
      </c>
      <c r="H23" t="str">
        <f>_xlfn.CONCAT(table[[#This Row],[First Name]],", ",table[[#This Row],[Department]])</f>
        <v>Alice, HR</v>
      </c>
      <c r="I23" t="str">
        <f>_xlfn.CONCAT(F23," ",G23)</f>
        <v>150 Yes</v>
      </c>
      <c r="J23" t="str">
        <f>_xlfn.CONCAT(F23,"-",G23)</f>
        <v>150-Yes</v>
      </c>
      <c r="K23" t="str">
        <f>IF(table[[#This Row],[Sales]]&gt;200,"Achived", "Not Achived")</f>
        <v>Not Achived</v>
      </c>
      <c r="L23" t="str" cm="1">
        <f t="array" ref="L23">_xlfn.IFS(table[[#This Row],[Department]]="HR", "HR dept",table[[#This Row],[Department]]="IT","IT dept",table[[#This Row],[Department]]="finance","finance dept",TRUE,"others")</f>
        <v>HR dept</v>
      </c>
      <c r="M23" t="str">
        <f>IF(table[[#This Row],[Sales]]&gt;200,"Target Achived", "No Achived")</f>
        <v>No Achived</v>
      </c>
      <c r="N23" t="str" cm="1">
        <f t="array" ref="N23:N32">IF(table[Department]="IT","IT dept",IF(table[Target Achieved]="Yes","Achived Target","Not Achived"))</f>
        <v>Achived Target</v>
      </c>
      <c r="Q23">
        <f>SUMIF(table[Department],"HR",table[Sales])</f>
        <v>480</v>
      </c>
    </row>
    <row r="24" spans="1:18" hidden="1" x14ac:dyDescent="0.35">
      <c r="A24" s="2"/>
      <c r="B24" s="2"/>
      <c r="C24" s="3" t="s">
        <v>6</v>
      </c>
      <c r="D24" s="3" t="s">
        <v>75</v>
      </c>
      <c r="E24" s="3" t="s">
        <v>16</v>
      </c>
      <c r="F24" s="3">
        <v>200</v>
      </c>
      <c r="G24" s="3" t="s">
        <v>76</v>
      </c>
      <c r="H24" t="str">
        <f>_xlfn.CONCAT(table[[#This Row],[First Name]],", ",table[[#This Row],[Department]])</f>
        <v>Bob, IT</v>
      </c>
      <c r="I24" t="str">
        <f t="shared" ref="I24:I32" si="0">_xlfn.CONCAT(F24," ",G24)</f>
        <v>200 No</v>
      </c>
      <c r="J24" t="str">
        <f t="shared" ref="J24:J32" si="1">_xlfn.CONCAT(F24,"-",G24)</f>
        <v>200-No</v>
      </c>
      <c r="K24" t="str">
        <f>IF(table[[#This Row],[Sales]]&gt;200, "Target Achived", "Not Achived")</f>
        <v>Not Achived</v>
      </c>
      <c r="L24" t="str" cm="1">
        <f t="array" ref="L24">_xlfn.IFS(table[[#This Row],[Department]]="HR", "HR dept",table[[#This Row],[Department]]="IT","IT dept",table[[#This Row],[Department]]="finance","finance dept",TRUE,"others")</f>
        <v>IT dept</v>
      </c>
      <c r="M24" t="str">
        <f>IF(table[[#This Row],[Sales]]&gt;200,"Target Achived", "No Achived")</f>
        <v>No Achived</v>
      </c>
      <c r="N24" s="2" t="str">
        <v>IT dept</v>
      </c>
      <c r="O24" t="e" cm="1">
        <f t="array" ref="O24">_xlfn.IFS(table[[#This Row],[Department]]="HR", "HR DEPT",E26="Finance",E27="IT")</f>
        <v>#N/A</v>
      </c>
      <c r="P24" s="2"/>
      <c r="Q24">
        <f>SUMIF(table[Department],"HR",table[Sales])</f>
        <v>480</v>
      </c>
      <c r="R24" s="2"/>
    </row>
    <row r="25" spans="1:18" x14ac:dyDescent="0.35">
      <c r="A25" s="2"/>
      <c r="B25" s="2"/>
      <c r="C25" s="3" t="s">
        <v>7</v>
      </c>
      <c r="D25" s="3" t="s">
        <v>50</v>
      </c>
      <c r="E25" s="3" t="s">
        <v>17</v>
      </c>
      <c r="F25" s="3">
        <v>180</v>
      </c>
      <c r="G25" s="3" t="s">
        <v>74</v>
      </c>
      <c r="H25" t="str">
        <f>_xlfn.CONCAT(table[[#This Row],[First Name]],", ",table[[#This Row],[Department]])</f>
        <v>Charlie, Finance</v>
      </c>
      <c r="I25" t="str">
        <f t="shared" si="0"/>
        <v>180 Yes</v>
      </c>
      <c r="J25" t="str">
        <f t="shared" si="1"/>
        <v>180-Yes</v>
      </c>
      <c r="K25" t="str">
        <f>IF(table[[#This Row],[Sales]]&gt;200, "Target Achived", "Not Achived")</f>
        <v>Not Achived</v>
      </c>
      <c r="L25" t="str" cm="1">
        <f t="array" ref="L25">_xlfn.IFS(table[[#This Row],[Department]]="HR", "HR dept",table[[#This Row],[Department]]="IT","IT dept",table[[#This Row],[Department]]="finance","finance dept",TRUE,"others")</f>
        <v>finance dept</v>
      </c>
      <c r="M25" t="str">
        <f>IF(table[[#This Row],[Sales]]&gt;200,"Target Achived", "No Achived")</f>
        <v>No Achived</v>
      </c>
      <c r="N25" s="2" t="str">
        <v>Achived Target</v>
      </c>
      <c r="P25" s="2"/>
      <c r="Q25">
        <f>SUMIF(table[Department],"HR",table[Sales])</f>
        <v>480</v>
      </c>
      <c r="R25" s="2"/>
    </row>
    <row r="26" spans="1:18" x14ac:dyDescent="0.35">
      <c r="A26" s="3"/>
      <c r="B26" s="3"/>
      <c r="C26" s="3" t="s">
        <v>8</v>
      </c>
      <c r="D26" s="3" t="s">
        <v>77</v>
      </c>
      <c r="E26" s="3" t="s">
        <v>16</v>
      </c>
      <c r="F26" s="6">
        <v>220</v>
      </c>
      <c r="G26" s="3" t="s">
        <v>74</v>
      </c>
      <c r="H26" t="str">
        <f>_xlfn.CONCAT(table[[#This Row],[First Name]],", ",table[[#This Row],[Department]])</f>
        <v>David, IT</v>
      </c>
      <c r="I26" t="str">
        <f t="shared" si="0"/>
        <v>220 Yes</v>
      </c>
      <c r="J26" t="str">
        <f t="shared" si="1"/>
        <v>220-Yes</v>
      </c>
      <c r="K26" t="str">
        <f>IF(table[[#This Row],[Sales]]&gt;200, "Target Achived", "Not Achived")</f>
        <v>Target Achived</v>
      </c>
      <c r="L26" t="str" cm="1">
        <f t="array" ref="L26">_xlfn.IFS(table[[#This Row],[Department]]="HR", "HR dept",table[[#This Row],[Department]]="IT","IT dept",table[[#This Row],[Department]]="finance","finance dept",TRUE,"others")</f>
        <v>IT dept</v>
      </c>
      <c r="M26" t="str">
        <f>IF(table[[#This Row],[Sales]]&gt;200,"Target Achived", "No Achived")</f>
        <v>Target Achived</v>
      </c>
      <c r="N26" t="str">
        <v>IT dept</v>
      </c>
      <c r="Q26">
        <f>SUMIF(table[Department],"HR",table[Sales])</f>
        <v>480</v>
      </c>
    </row>
    <row r="27" spans="1:18" x14ac:dyDescent="0.35">
      <c r="A27" s="3"/>
      <c r="B27" s="3"/>
      <c r="C27" s="3" t="s">
        <v>9</v>
      </c>
      <c r="D27" s="3" t="s">
        <v>78</v>
      </c>
      <c r="E27" s="3" t="s">
        <v>15</v>
      </c>
      <c r="F27" s="3">
        <v>170</v>
      </c>
      <c r="G27" s="3" t="s">
        <v>76</v>
      </c>
      <c r="H27" t="str">
        <f>_xlfn.CONCAT(table[[#This Row],[First Name]],", ",table[[#This Row],[Department]])</f>
        <v>Eva, HR</v>
      </c>
      <c r="I27" t="str">
        <f t="shared" si="0"/>
        <v>170 No</v>
      </c>
      <c r="J27" t="str">
        <f t="shared" si="1"/>
        <v>170-No</v>
      </c>
      <c r="K27" t="str">
        <f>IF(table[[#This Row],[Sales]]&gt;200, "Target Achived", "Not Achived")</f>
        <v>Not Achived</v>
      </c>
      <c r="L27" t="str" cm="1">
        <f t="array" ref="L27">_xlfn.IFS(table[[#This Row],[Department]]="HR", "HR dept",table[[#This Row],[Department]]="IT","IT dept",table[[#This Row],[Department]]="finance","finance dept",TRUE,"others")</f>
        <v>HR dept</v>
      </c>
      <c r="M27" t="str">
        <f>IF(table[[#This Row],[Sales]]&gt;200,"Target Achived", "No Achived")</f>
        <v>No Achived</v>
      </c>
      <c r="N27" t="str">
        <v>Not Achived</v>
      </c>
      <c r="Q27">
        <f>SUMIF(table[Department],"HR",table[Sales])</f>
        <v>480</v>
      </c>
    </row>
    <row r="28" spans="1:18" x14ac:dyDescent="0.35">
      <c r="A28" s="3"/>
      <c r="B28" s="3"/>
      <c r="C28" s="3" t="s">
        <v>10</v>
      </c>
      <c r="D28" s="3" t="s">
        <v>79</v>
      </c>
      <c r="E28" s="3" t="s">
        <v>17</v>
      </c>
      <c r="F28" s="6">
        <v>210</v>
      </c>
      <c r="G28" s="3" t="s">
        <v>74</v>
      </c>
      <c r="H28" t="str">
        <f>_xlfn.CONCAT(table[[#This Row],[First Name]],", ",table[[#This Row],[Department]])</f>
        <v>Frank, Finance</v>
      </c>
      <c r="I28" t="str">
        <f t="shared" si="0"/>
        <v>210 Yes</v>
      </c>
      <c r="J28" t="str">
        <f t="shared" si="1"/>
        <v>210-Yes</v>
      </c>
      <c r="K28" t="str">
        <f>IF(table[[#This Row],[Sales]]&gt;200, "Target Achived", "Not Achived")</f>
        <v>Target Achived</v>
      </c>
      <c r="L28" t="str" cm="1">
        <f t="array" ref="L28">_xlfn.IFS(table[[#This Row],[Department]]="HR", "HR dept",table[[#This Row],[Department]]="IT","IT dept",table[[#This Row],[Department]]="finance","finance dept",TRUE,"others")</f>
        <v>finance dept</v>
      </c>
      <c r="M28" t="str">
        <f>IF(table[[#This Row],[Sales]]&gt;200,"Target Achived", "No Achived")</f>
        <v>Target Achived</v>
      </c>
      <c r="N28" t="str">
        <v>Achived Target</v>
      </c>
      <c r="Q28">
        <f>SUMIF(table[Department],"HR",table[Sales])</f>
        <v>480</v>
      </c>
    </row>
    <row r="29" spans="1:18" x14ac:dyDescent="0.35">
      <c r="A29" s="3"/>
      <c r="B29" s="3"/>
      <c r="C29" s="3" t="s">
        <v>11</v>
      </c>
      <c r="D29" s="3" t="s">
        <v>80</v>
      </c>
      <c r="E29" s="3" t="s">
        <v>16</v>
      </c>
      <c r="F29" s="6">
        <v>230</v>
      </c>
      <c r="G29" s="3" t="s">
        <v>74</v>
      </c>
      <c r="H29" t="str">
        <f>_xlfn.CONCAT(table[[#This Row],[First Name]],", ",table[[#This Row],[Department]])</f>
        <v>Grace, IT</v>
      </c>
      <c r="I29" t="str">
        <f t="shared" si="0"/>
        <v>230 Yes</v>
      </c>
      <c r="J29" t="str">
        <f t="shared" si="1"/>
        <v>230-Yes</v>
      </c>
      <c r="K29" t="str">
        <f>IF(table[[#This Row],[Sales]]&gt;200, "Target Achived", "Not Achived")</f>
        <v>Target Achived</v>
      </c>
      <c r="L29" t="str" cm="1">
        <f t="array" ref="L29">_xlfn.IFS(table[[#This Row],[Department]]="HR", "HR dept",table[[#This Row],[Department]]="IT","IT dept",table[[#This Row],[Department]]="finance","finance dept",TRUE,"others")</f>
        <v>IT dept</v>
      </c>
      <c r="M29" t="str">
        <f>IF(table[[#This Row],[Sales]]&gt;200,"Target Achived", "No Achived")</f>
        <v>Target Achived</v>
      </c>
      <c r="N29" t="str">
        <v>IT dept</v>
      </c>
      <c r="Q29">
        <f>SUMIF(table[Department],"HR",table[Sales])</f>
        <v>480</v>
      </c>
    </row>
    <row r="30" spans="1:18" x14ac:dyDescent="0.35">
      <c r="A30" s="3"/>
      <c r="B30" s="3"/>
      <c r="C30" s="3" t="s">
        <v>12</v>
      </c>
      <c r="D30" s="3" t="s">
        <v>81</v>
      </c>
      <c r="E30" s="3" t="s">
        <v>15</v>
      </c>
      <c r="F30" s="3">
        <v>160</v>
      </c>
      <c r="G30" s="3" t="s">
        <v>76</v>
      </c>
      <c r="H30" t="str">
        <f>_xlfn.CONCAT(table[[#This Row],[First Name]],", ",table[[#This Row],[Department]])</f>
        <v>Hannah, HR</v>
      </c>
      <c r="I30" t="str">
        <f t="shared" si="0"/>
        <v>160 No</v>
      </c>
      <c r="J30" t="str">
        <f t="shared" si="1"/>
        <v>160-No</v>
      </c>
      <c r="K30" t="str">
        <f>IF(table[[#This Row],[Sales]]&gt;200, "Target Achived", "Not Achived")</f>
        <v>Not Achived</v>
      </c>
      <c r="L30" t="str" cm="1">
        <f t="array" ref="L30">_xlfn.IFS(table[[#This Row],[Department]]="HR", "HR dept",table[[#This Row],[Department]]="IT","IT dept",table[[#This Row],[Department]]="finance","finance dept",TRUE,"others")</f>
        <v>HR dept</v>
      </c>
      <c r="M30" t="str">
        <f>IF(table[[#This Row],[Sales]]&gt;200,"Target Achived", "No Achived")</f>
        <v>No Achived</v>
      </c>
      <c r="N30" t="str">
        <v>Not Achived</v>
      </c>
      <c r="Q30">
        <f>SUMIF(table[Department],"HR",table[Sales])</f>
        <v>480</v>
      </c>
    </row>
    <row r="31" spans="1:18" x14ac:dyDescent="0.35">
      <c r="A31" s="3"/>
      <c r="B31" s="3"/>
      <c r="C31" s="3" t="s">
        <v>13</v>
      </c>
      <c r="D31" s="3" t="s">
        <v>82</v>
      </c>
      <c r="E31" s="3" t="s">
        <v>17</v>
      </c>
      <c r="F31" s="3">
        <v>200</v>
      </c>
      <c r="G31" s="3" t="s">
        <v>74</v>
      </c>
      <c r="H31" t="str">
        <f>_xlfn.CONCAT(table[[#This Row],[First Name]],", ",table[[#This Row],[Department]])</f>
        <v>Ivan, Finance</v>
      </c>
      <c r="I31" t="str">
        <f t="shared" si="0"/>
        <v>200 Yes</v>
      </c>
      <c r="J31" t="str">
        <f t="shared" si="1"/>
        <v>200-Yes</v>
      </c>
      <c r="K31" t="str">
        <f>IF(table[[#This Row],[Sales]]&gt;200, "Target Achived", "Not Achived")</f>
        <v>Not Achived</v>
      </c>
      <c r="L31" t="str" cm="1">
        <f t="array" ref="L31">_xlfn.IFS(table[[#This Row],[Department]]="HR", "HR dept",table[[#This Row],[Department]]="IT","IT dept",table[[#This Row],[Department]]="finance","finance dept",TRUE,"others")</f>
        <v>finance dept</v>
      </c>
      <c r="M31" t="str">
        <f>IF(table[[#This Row],[Sales]]&gt;200,"Target Achived", "No Achived")</f>
        <v>No Achived</v>
      </c>
      <c r="N31" t="str">
        <v>Achived Target</v>
      </c>
      <c r="Q31">
        <f>SUMIF(table[Department],"HR",table[Sales])</f>
        <v>480</v>
      </c>
    </row>
    <row r="32" spans="1:18" x14ac:dyDescent="0.35">
      <c r="A32" s="3"/>
      <c r="B32" s="3"/>
      <c r="C32" s="3" t="s">
        <v>14</v>
      </c>
      <c r="D32" s="3" t="s">
        <v>83</v>
      </c>
      <c r="E32" s="3" t="s">
        <v>16</v>
      </c>
      <c r="F32" s="3">
        <v>190</v>
      </c>
      <c r="G32" s="3" t="s">
        <v>76</v>
      </c>
      <c r="H32" t="str">
        <f>_xlfn.CONCAT(table[[#This Row],[First Name]],", ",table[[#This Row],[Department]])</f>
        <v>Jack, IT</v>
      </c>
      <c r="I32" t="str">
        <f t="shared" si="0"/>
        <v>190 No</v>
      </c>
      <c r="J32" t="str">
        <f t="shared" si="1"/>
        <v>190-No</v>
      </c>
      <c r="K32" t="str">
        <f>IF(table[[#This Row],[Sales]]&gt;200, "Target Achived", "Not Achived")</f>
        <v>Not Achived</v>
      </c>
      <c r="L32" t="str" cm="1">
        <f t="array" ref="L32">_xlfn.IFS(table[[#This Row],[Department]]="HR", "HR dept",table[[#This Row],[Department]]="IT","IT dept",table[[#This Row],[Department]]="finance","finance dept",TRUE,"others")</f>
        <v>IT dept</v>
      </c>
      <c r="M32" t="str">
        <f>IF(table[[#This Row],[Sales]]&gt;200,"Target Achived", "No Achived")</f>
        <v>No Achived</v>
      </c>
      <c r="N32" t="str">
        <v>IT dept</v>
      </c>
      <c r="Q32">
        <f>SUMIF(table[Department],"HR",table[Sales])</f>
        <v>480</v>
      </c>
    </row>
    <row r="33" spans="1:7" ht="18.5" x14ac:dyDescent="0.45">
      <c r="A33" s="3"/>
      <c r="B33" s="3"/>
      <c r="E33" s="41" t="s">
        <v>175</v>
      </c>
      <c r="F33" s="39">
        <f>COUNTIF(table[Sales],"&gt;200")</f>
        <v>3</v>
      </c>
      <c r="G33" s="59">
        <f>COUNTIF(table[Target Achieved],"yes")</f>
        <v>6</v>
      </c>
    </row>
    <row r="34" spans="1:7" x14ac:dyDescent="0.35">
      <c r="A34" s="3"/>
      <c r="B34" s="3"/>
      <c r="G34" s="4" t="s">
        <v>176</v>
      </c>
    </row>
    <row r="35" spans="1:7" ht="18.5" x14ac:dyDescent="0.45">
      <c r="A35" s="3"/>
      <c r="B35" s="3"/>
      <c r="E35" s="41" t="s">
        <v>177</v>
      </c>
      <c r="F35" s="40">
        <f>COUNTIFS(table[Sales],"&gt;150",table[Sales],"&lt;220")</f>
        <v>7</v>
      </c>
    </row>
    <row r="39" spans="1:7" x14ac:dyDescent="0.35">
      <c r="C39" s="28"/>
      <c r="D39" s="28"/>
    </row>
    <row r="40" spans="1:7" ht="15.5" x14ac:dyDescent="0.35">
      <c r="C40" s="28"/>
      <c r="D40" s="29" t="s">
        <v>70</v>
      </c>
    </row>
    <row r="41" spans="1:7" ht="15.5" x14ac:dyDescent="0.35">
      <c r="C41" s="28"/>
      <c r="D41" s="29" t="s">
        <v>84</v>
      </c>
    </row>
    <row r="42" spans="1:7" ht="15.5" x14ac:dyDescent="0.35">
      <c r="C42" s="28"/>
      <c r="D42" s="29" t="s">
        <v>85</v>
      </c>
    </row>
    <row r="43" spans="1:7" ht="15.5" x14ac:dyDescent="0.35">
      <c r="C43" s="28"/>
      <c r="D43" s="29" t="s">
        <v>107</v>
      </c>
    </row>
    <row r="44" spans="1:7" x14ac:dyDescent="0.35">
      <c r="C44" s="28"/>
      <c r="D44" s="28"/>
    </row>
    <row r="45" spans="1:7" x14ac:dyDescent="0.35">
      <c r="C45" s="28"/>
      <c r="D45" s="28"/>
    </row>
  </sheetData>
  <conditionalFormatting sqref="D24">
    <cfRule type="top10" dxfId="3" priority="1" rank="5"/>
    <cfRule type="top10" dxfId="2" priority="2" rank="5"/>
  </conditionalFormatting>
  <conditionalFormatting sqref="D25:D26">
    <cfRule type="top10" dxfId="1" priority="5" rank="5"/>
    <cfRule type="top10" dxfId="0" priority="6" rank="5"/>
  </conditionalFormatting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DE77D-675B-4229-ADF3-EDBFFFD7CAFE}">
  <dimension ref="A1:Q29"/>
  <sheetViews>
    <sheetView topLeftCell="A14" workbookViewId="0">
      <selection activeCell="R19" sqref="R19"/>
    </sheetView>
  </sheetViews>
  <sheetFormatPr defaultRowHeight="14.5" x14ac:dyDescent="0.35"/>
  <cols>
    <col min="1" max="1" width="10.08984375" bestFit="1" customWidth="1"/>
    <col min="5" max="5" width="13" customWidth="1"/>
    <col min="8" max="8" width="10.7265625" customWidth="1"/>
    <col min="9" max="9" width="3.08984375" customWidth="1"/>
    <col min="10" max="10" width="16.26953125" customWidth="1"/>
  </cols>
  <sheetData>
    <row r="1" spans="1:17" ht="29" x14ac:dyDescent="0.35">
      <c r="A1" s="7" t="s">
        <v>92</v>
      </c>
      <c r="B1" s="7" t="s">
        <v>93</v>
      </c>
      <c r="C1" s="7" t="s">
        <v>94</v>
      </c>
      <c r="D1" s="7" t="s">
        <v>95</v>
      </c>
      <c r="E1" s="7" t="s">
        <v>96</v>
      </c>
      <c r="F1" s="28"/>
      <c r="G1" s="28"/>
      <c r="H1" s="28"/>
      <c r="I1" s="28"/>
      <c r="J1" s="28"/>
      <c r="K1" s="28"/>
      <c r="L1" s="28"/>
      <c r="M1" s="29" t="s">
        <v>84</v>
      </c>
      <c r="N1" s="29" t="s">
        <v>108</v>
      </c>
      <c r="O1" s="29" t="s">
        <v>110</v>
      </c>
      <c r="P1" s="28"/>
      <c r="Q1" s="29" t="s">
        <v>109</v>
      </c>
    </row>
    <row r="2" spans="1:17" x14ac:dyDescent="0.35">
      <c r="A2" s="8">
        <v>45536</v>
      </c>
      <c r="B2" s="3" t="s">
        <v>97</v>
      </c>
      <c r="C2" s="3" t="s">
        <v>5</v>
      </c>
      <c r="D2" s="3">
        <v>10</v>
      </c>
      <c r="E2" s="9">
        <v>200</v>
      </c>
      <c r="F2" s="28"/>
      <c r="G2" s="28"/>
      <c r="H2" s="28"/>
      <c r="I2" s="28"/>
      <c r="J2" s="28"/>
      <c r="K2" s="28"/>
      <c r="L2" s="28"/>
      <c r="M2" s="28">
        <f>COUNTIF(E2:E11,"&gt;200")</f>
        <v>4</v>
      </c>
      <c r="N2" s="28">
        <f>_xlfn.MINIFS(E2:E11,B2:B11,"Widget a")</f>
        <v>120</v>
      </c>
      <c r="O2" s="28">
        <f>_xlfn.MINIFS(E2:E11,B2:B11,"widget a",D2:D11,"&gt;=10")</f>
        <v>200</v>
      </c>
      <c r="P2" s="28"/>
      <c r="Q2" s="28">
        <f>_xlfn.MAXIFS(E2:E11,B2:B11,"widget c",D2:D11,"&lt;10")</f>
        <v>100</v>
      </c>
    </row>
    <row r="3" spans="1:17" ht="18.5" x14ac:dyDescent="0.45">
      <c r="A3" s="8">
        <v>45537</v>
      </c>
      <c r="B3" s="3" t="s">
        <v>98</v>
      </c>
      <c r="C3" s="3" t="s">
        <v>6</v>
      </c>
      <c r="D3" s="3">
        <v>5</v>
      </c>
      <c r="E3" s="9">
        <v>150</v>
      </c>
      <c r="F3" s="28"/>
      <c r="G3" s="30" t="s">
        <v>104</v>
      </c>
      <c r="H3" s="30" t="s">
        <v>105</v>
      </c>
      <c r="I3" s="28"/>
      <c r="J3" s="30" t="s">
        <v>103</v>
      </c>
      <c r="K3" s="28"/>
      <c r="L3" s="28"/>
      <c r="M3" s="28"/>
      <c r="N3" s="28"/>
      <c r="O3" s="28"/>
      <c r="P3" s="28"/>
      <c r="Q3" s="28"/>
    </row>
    <row r="4" spans="1:17" x14ac:dyDescent="0.35">
      <c r="A4" s="8">
        <v>45538</v>
      </c>
      <c r="B4" s="3" t="s">
        <v>97</v>
      </c>
      <c r="C4" s="3" t="s">
        <v>99</v>
      </c>
      <c r="D4" s="3">
        <v>7</v>
      </c>
      <c r="E4" s="9">
        <v>140</v>
      </c>
      <c r="F4" s="28"/>
      <c r="G4" s="28">
        <f>SUMIF(B3:B11,"widget b",E3:E11)</f>
        <v>690</v>
      </c>
      <c r="H4" s="28">
        <f>AVERAGEIF(B3:B11,"widget b",E3:E11)</f>
        <v>230</v>
      </c>
      <c r="I4" s="28"/>
      <c r="J4" s="28"/>
      <c r="K4" s="28"/>
      <c r="L4" s="28"/>
      <c r="M4" s="28"/>
      <c r="N4" s="28"/>
      <c r="O4" s="28"/>
      <c r="P4" s="28"/>
      <c r="Q4" s="28"/>
    </row>
    <row r="5" spans="1:17" x14ac:dyDescent="0.35">
      <c r="A5" s="8">
        <v>45539</v>
      </c>
      <c r="B5" s="3" t="s">
        <v>100</v>
      </c>
      <c r="C5" s="3" t="s">
        <v>5</v>
      </c>
      <c r="D5" s="3">
        <v>15</v>
      </c>
      <c r="E5" s="9">
        <v>300</v>
      </c>
      <c r="F5" s="28"/>
      <c r="G5" s="28"/>
      <c r="H5" s="28"/>
      <c r="I5" s="28"/>
      <c r="J5" s="28">
        <f>SUMIF(B4:B11,"widget A",E4:E11)+SUMIF(B4:B11,"widget B",E4:E11)</f>
        <v>1200</v>
      </c>
      <c r="K5" s="28"/>
      <c r="L5" s="28"/>
      <c r="M5" s="28"/>
      <c r="N5" s="28"/>
      <c r="O5" s="28"/>
      <c r="P5" s="28"/>
      <c r="Q5" s="28"/>
    </row>
    <row r="6" spans="1:17" x14ac:dyDescent="0.35">
      <c r="A6" s="8">
        <v>45540</v>
      </c>
      <c r="B6" s="3" t="s">
        <v>98</v>
      </c>
      <c r="C6" s="3" t="s">
        <v>99</v>
      </c>
      <c r="D6" s="3">
        <v>8</v>
      </c>
      <c r="E6" s="9">
        <v>240</v>
      </c>
      <c r="F6" s="28"/>
      <c r="G6" s="28"/>
      <c r="H6" s="28"/>
      <c r="I6" s="28"/>
      <c r="J6" s="28"/>
      <c r="K6" s="28"/>
      <c r="L6" s="28"/>
      <c r="M6" s="28"/>
      <c r="N6" s="28"/>
      <c r="O6" s="28">
        <f>_xlfn.MINIFS(E2:E11,B2:B11,"widget a",D2:D11,"&lt;10")</f>
        <v>120</v>
      </c>
      <c r="P6" s="28"/>
      <c r="Q6" s="28"/>
    </row>
    <row r="7" spans="1:17" x14ac:dyDescent="0.35">
      <c r="A7" s="8">
        <v>45541</v>
      </c>
      <c r="B7" s="3" t="s">
        <v>97</v>
      </c>
      <c r="C7" s="3" t="s">
        <v>6</v>
      </c>
      <c r="D7" s="3">
        <v>12</v>
      </c>
      <c r="E7" s="9">
        <v>240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</row>
    <row r="8" spans="1:17" x14ac:dyDescent="0.35">
      <c r="A8" s="8">
        <v>45542</v>
      </c>
      <c r="B8" s="3" t="s">
        <v>97</v>
      </c>
      <c r="C8" s="3" t="s">
        <v>5</v>
      </c>
      <c r="D8" s="3">
        <v>6</v>
      </c>
      <c r="E8" s="9">
        <v>120</v>
      </c>
      <c r="F8" s="28"/>
      <c r="G8" s="28"/>
      <c r="H8" s="28"/>
      <c r="I8" s="28"/>
      <c r="J8" s="28"/>
      <c r="K8" s="28"/>
      <c r="L8" s="28"/>
      <c r="M8" s="28"/>
      <c r="N8" s="28">
        <f>_xlfn.MINIFS(E2:E11,B2:B11,"widget c")</f>
        <v>100</v>
      </c>
      <c r="O8" s="28"/>
      <c r="P8" s="28"/>
      <c r="Q8" s="28"/>
    </row>
    <row r="9" spans="1:17" x14ac:dyDescent="0.35">
      <c r="A9" s="8">
        <v>45543</v>
      </c>
      <c r="B9" s="3" t="s">
        <v>98</v>
      </c>
      <c r="C9" s="3" t="s">
        <v>6</v>
      </c>
      <c r="D9" s="3">
        <v>10</v>
      </c>
      <c r="E9" s="9">
        <v>300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</row>
    <row r="10" spans="1:17" x14ac:dyDescent="0.35">
      <c r="A10" s="8">
        <v>45544</v>
      </c>
      <c r="B10" s="3" t="s">
        <v>97</v>
      </c>
      <c r="C10" s="3" t="s">
        <v>99</v>
      </c>
      <c r="D10" s="3">
        <v>8</v>
      </c>
      <c r="E10" s="9">
        <v>160</v>
      </c>
      <c r="G10" s="63"/>
      <c r="H10" s="53"/>
      <c r="I10" s="53"/>
      <c r="J10" s="53"/>
      <c r="K10" s="53"/>
      <c r="L10" s="53"/>
      <c r="M10" s="53"/>
      <c r="N10" s="54"/>
    </row>
    <row r="11" spans="1:17" x14ac:dyDescent="0.35">
      <c r="A11" s="8">
        <v>45545</v>
      </c>
      <c r="B11" s="3" t="s">
        <v>100</v>
      </c>
      <c r="C11" s="3" t="s">
        <v>6</v>
      </c>
      <c r="D11" s="3">
        <v>5</v>
      </c>
      <c r="E11" s="9">
        <v>100</v>
      </c>
      <c r="G11" s="43"/>
      <c r="N11" s="44"/>
    </row>
    <row r="12" spans="1:17" x14ac:dyDescent="0.35">
      <c r="G12" s="43"/>
      <c r="N12" s="44"/>
    </row>
    <row r="13" spans="1:17" ht="18.5" x14ac:dyDescent="0.45">
      <c r="G13" s="43"/>
      <c r="H13" s="64" t="s">
        <v>181</v>
      </c>
      <c r="J13" s="65">
        <f>SUMIF(C2:C11,"Alice",E2:E11)</f>
        <v>620</v>
      </c>
      <c r="L13" s="42" t="s">
        <v>187</v>
      </c>
      <c r="M13" s="66">
        <f>MAX(E2:E11,2)</f>
        <v>300</v>
      </c>
      <c r="N13" s="44"/>
    </row>
    <row r="14" spans="1:17" ht="18.5" x14ac:dyDescent="0.45">
      <c r="G14" s="43"/>
      <c r="J14" s="65">
        <f>SUMIF(B2:B11,B3,E2:E11)</f>
        <v>690</v>
      </c>
      <c r="L14" s="42" t="s">
        <v>188</v>
      </c>
      <c r="M14" s="10">
        <f>_xlfn.MAXIFS(D2:D11,B2:B11,"Widget A")</f>
        <v>12</v>
      </c>
      <c r="N14" s="44"/>
    </row>
    <row r="15" spans="1:17" x14ac:dyDescent="0.35">
      <c r="G15" s="43"/>
      <c r="N15" s="44"/>
    </row>
    <row r="16" spans="1:17" ht="18.5" x14ac:dyDescent="0.45">
      <c r="G16" s="43"/>
      <c r="H16" s="42" t="s">
        <v>182</v>
      </c>
      <c r="J16" s="65">
        <f>SUMIFS(E2:E11,B2:B11,B2,C2:C11,"Alice")</f>
        <v>320</v>
      </c>
      <c r="N16" s="44"/>
    </row>
    <row r="17" spans="4:14" ht="15.5" x14ac:dyDescent="0.35">
      <c r="G17" s="43"/>
      <c r="J17" s="65">
        <f>SUMIFS(E2:E11,B2:B11,"Widget A",C2:C11,"Alice",D2:D11,"&gt;5")</f>
        <v>320</v>
      </c>
      <c r="N17" s="44"/>
    </row>
    <row r="18" spans="4:14" x14ac:dyDescent="0.35">
      <c r="D18" s="60"/>
      <c r="E18" s="60"/>
      <c r="F18" s="60"/>
      <c r="G18" s="43"/>
      <c r="N18" s="44"/>
    </row>
    <row r="19" spans="4:14" ht="18.5" x14ac:dyDescent="0.45">
      <c r="D19" s="60"/>
      <c r="E19" s="61" t="s">
        <v>101</v>
      </c>
      <c r="F19" s="60"/>
      <c r="G19" s="43"/>
      <c r="L19" s="42" t="s">
        <v>189</v>
      </c>
      <c r="M19" s="5">
        <f>MIN(D2:D11)</f>
        <v>5</v>
      </c>
      <c r="N19" s="44"/>
    </row>
    <row r="20" spans="4:14" ht="18.5" x14ac:dyDescent="0.45">
      <c r="D20" s="60"/>
      <c r="E20" s="61" t="s">
        <v>102</v>
      </c>
      <c r="F20" s="60"/>
      <c r="G20" s="43"/>
      <c r="H20" s="42" t="s">
        <v>175</v>
      </c>
      <c r="J20" s="67">
        <f>COUNTIF(B2:B11,B2)</f>
        <v>5</v>
      </c>
      <c r="L20" s="42" t="s">
        <v>190</v>
      </c>
      <c r="M20" s="5">
        <f>_xlfn.MINIFS(D2:D11,C2:C11,"Alice")</f>
        <v>6</v>
      </c>
      <c r="N20" s="44"/>
    </row>
    <row r="21" spans="4:14" ht="18.5" x14ac:dyDescent="0.45">
      <c r="D21" s="60"/>
      <c r="E21" s="62" t="s">
        <v>106</v>
      </c>
      <c r="F21" s="60"/>
      <c r="G21" s="43"/>
      <c r="J21" s="67">
        <f>COUNTIF(D2:D11,"&gt;10")</f>
        <v>2</v>
      </c>
      <c r="N21" s="44"/>
    </row>
    <row r="22" spans="4:14" ht="18.5" x14ac:dyDescent="0.45">
      <c r="D22" s="60"/>
      <c r="E22" s="60"/>
      <c r="F22" s="60"/>
      <c r="G22" s="43"/>
      <c r="J22" s="67"/>
      <c r="N22" s="44"/>
    </row>
    <row r="23" spans="4:14" ht="18.5" x14ac:dyDescent="0.45">
      <c r="D23" s="60"/>
      <c r="E23" s="61" t="s">
        <v>84</v>
      </c>
      <c r="F23" s="60"/>
      <c r="G23" s="43"/>
      <c r="H23" s="42" t="s">
        <v>183</v>
      </c>
      <c r="J23" s="67">
        <f>COUNTIFS(B2:B11,B6,D2:D11,"&gt;5")</f>
        <v>2</v>
      </c>
      <c r="N23" s="44"/>
    </row>
    <row r="24" spans="4:14" x14ac:dyDescent="0.35">
      <c r="D24" s="60"/>
      <c r="E24" s="61" t="s">
        <v>108</v>
      </c>
      <c r="F24" s="60"/>
      <c r="G24" s="43"/>
      <c r="N24" s="44"/>
    </row>
    <row r="25" spans="4:14" x14ac:dyDescent="0.35">
      <c r="D25" s="60"/>
      <c r="E25" s="61" t="s">
        <v>109</v>
      </c>
      <c r="F25" s="60"/>
      <c r="G25" s="43"/>
      <c r="N25" s="44"/>
    </row>
    <row r="26" spans="4:14" ht="18.5" x14ac:dyDescent="0.45">
      <c r="D26" s="60"/>
      <c r="E26" s="60"/>
      <c r="F26" s="60"/>
      <c r="G26" s="43"/>
      <c r="H26" s="42" t="s">
        <v>184</v>
      </c>
      <c r="J26" s="5">
        <f>AVERAGE(D2:E11)</f>
        <v>101.8</v>
      </c>
      <c r="N26" s="44"/>
    </row>
    <row r="27" spans="4:14" ht="18.5" x14ac:dyDescent="0.45">
      <c r="G27" s="43"/>
      <c r="H27" s="42" t="s">
        <v>185</v>
      </c>
      <c r="J27" s="5">
        <f>AVERAGEIF(C2:C11,"Alice",E2:E11)</f>
        <v>206.66666666666666</v>
      </c>
      <c r="N27" s="44"/>
    </row>
    <row r="28" spans="4:14" ht="18.5" x14ac:dyDescent="0.45">
      <c r="G28" s="43"/>
      <c r="H28" s="42" t="s">
        <v>186</v>
      </c>
      <c r="J28" s="5">
        <f>AVERAGEIFS(E2:E11,C2:C11,"Bob",D2:D11,"&gt;5")</f>
        <v>270</v>
      </c>
      <c r="N28" s="44"/>
    </row>
    <row r="29" spans="4:14" x14ac:dyDescent="0.35">
      <c r="G29" s="45"/>
      <c r="H29" s="46"/>
      <c r="I29" s="46"/>
      <c r="J29" s="46"/>
      <c r="K29" s="46"/>
      <c r="L29" s="46"/>
      <c r="M29" s="46"/>
      <c r="N29" s="4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BE25-25AD-4D86-A57A-F5C56555C07C}">
  <dimension ref="A1:Q26"/>
  <sheetViews>
    <sheetView topLeftCell="B6" workbookViewId="0">
      <selection activeCell="F26" sqref="F26"/>
    </sheetView>
  </sheetViews>
  <sheetFormatPr defaultRowHeight="14.5" x14ac:dyDescent="0.35"/>
  <cols>
    <col min="1" max="1" width="9.7265625" bestFit="1" customWidth="1"/>
    <col min="2" max="2" width="18.90625" customWidth="1"/>
    <col min="5" max="5" width="43.81640625" bestFit="1" customWidth="1"/>
    <col min="6" max="6" width="23.453125" customWidth="1"/>
    <col min="7" max="7" width="17.54296875" customWidth="1"/>
  </cols>
  <sheetData>
    <row r="1" spans="1:17" x14ac:dyDescent="0.35">
      <c r="A1" s="13" t="s">
        <v>129</v>
      </c>
    </row>
    <row r="2" spans="1:17" ht="15.5" x14ac:dyDescent="0.35">
      <c r="A2" s="14" t="s">
        <v>130</v>
      </c>
      <c r="B2" s="14" t="s">
        <v>1</v>
      </c>
      <c r="C2" s="14" t="s">
        <v>131</v>
      </c>
      <c r="D2" s="14" t="s">
        <v>132</v>
      </c>
      <c r="E2" s="21" t="s">
        <v>133</v>
      </c>
      <c r="F2" s="21" t="s">
        <v>134</v>
      </c>
      <c r="G2" s="21" t="s">
        <v>154</v>
      </c>
      <c r="H2" s="21"/>
      <c r="O2" s="5" t="s">
        <v>151</v>
      </c>
      <c r="Q2" s="5" t="s">
        <v>151</v>
      </c>
    </row>
    <row r="3" spans="1:17" ht="15.5" x14ac:dyDescent="0.35">
      <c r="A3" s="15" t="s">
        <v>135</v>
      </c>
      <c r="B3" s="15" t="s">
        <v>5</v>
      </c>
      <c r="C3" s="15">
        <v>14</v>
      </c>
      <c r="D3" s="15">
        <v>8</v>
      </c>
      <c r="E3" t="str">
        <f>VLOOKUP(A3,A14:C18,2,TRUE)</f>
        <v>Introduction to Data Science and Machine Learning</v>
      </c>
      <c r="F3" t="s">
        <v>135</v>
      </c>
      <c r="G3">
        <f>_xlfn.XLOOKUP(A3,A3:A7,C3:C7,"Missing",0)</f>
        <v>14</v>
      </c>
      <c r="O3" s="22"/>
      <c r="P3" s="22"/>
      <c r="Q3" s="23"/>
    </row>
    <row r="4" spans="1:17" ht="15.5" x14ac:dyDescent="0.35">
      <c r="A4" s="15" t="s">
        <v>137</v>
      </c>
      <c r="B4" s="15" t="s">
        <v>6</v>
      </c>
      <c r="C4" s="15">
        <v>15</v>
      </c>
      <c r="D4" s="15">
        <v>9</v>
      </c>
      <c r="E4" t="str">
        <f>VLOOKUP(A4,A13:C18,2,TRUE)</f>
        <v>Full-Stack Web Development Bootcamp</v>
      </c>
      <c r="F4" t="s">
        <v>137</v>
      </c>
      <c r="G4" t="str">
        <f>_xlfn.XLOOKUP(F4,A14:A18,B14:B18)</f>
        <v>Full-Stack Web Development Bootcamp</v>
      </c>
      <c r="O4" s="23" t="s">
        <v>148</v>
      </c>
      <c r="P4" s="23" t="s">
        <v>149</v>
      </c>
      <c r="Q4" s="23" t="s">
        <v>132</v>
      </c>
    </row>
    <row r="5" spans="1:17" x14ac:dyDescent="0.35">
      <c r="A5" s="15" t="s">
        <v>139</v>
      </c>
      <c r="B5" s="15" t="s">
        <v>7</v>
      </c>
      <c r="C5" s="15">
        <v>14</v>
      </c>
      <c r="D5" s="15">
        <v>8</v>
      </c>
      <c r="E5" t="str">
        <f t="shared" ref="E5:E6" si="0">VLOOKUP(A5,A14:C19,2,TRUE)</f>
        <v>Cybersecurity Essentials: Protecting Digital Assets</v>
      </c>
      <c r="F5" t="s">
        <v>139</v>
      </c>
      <c r="G5" t="str">
        <f>_xlfn.XLOOKUP(F5,A14:A18,B14:B18)</f>
        <v>Cybersecurity Essentials: Protecting Digital Assets</v>
      </c>
      <c r="O5" s="22" t="s">
        <v>6</v>
      </c>
      <c r="P5" s="22"/>
      <c r="Q5" s="22" t="s">
        <v>5</v>
      </c>
    </row>
    <row r="6" spans="1:17" x14ac:dyDescent="0.35">
      <c r="A6" s="15" t="s">
        <v>141</v>
      </c>
      <c r="B6" s="15" t="s">
        <v>8</v>
      </c>
      <c r="C6" s="15">
        <v>16</v>
      </c>
      <c r="D6" s="15">
        <v>10</v>
      </c>
      <c r="E6" t="str">
        <f t="shared" si="0"/>
        <v>Advanced Excel and Data Analysis</v>
      </c>
      <c r="F6" t="s">
        <v>141</v>
      </c>
      <c r="G6" t="str">
        <f>_xlfn.XLOOKUP(F6,A14:A18,B14:B18)</f>
        <v>Advanced Excel and Data Analysis</v>
      </c>
      <c r="O6" s="22">
        <f>_xlfn.XLOOKUP(O5,B3:B7,C3:C7)</f>
        <v>15</v>
      </c>
      <c r="P6" s="22"/>
      <c r="Q6" s="22">
        <f>_xlfn.XLOOKUP(Q5,B3:B7,D3:D7)</f>
        <v>8</v>
      </c>
    </row>
    <row r="7" spans="1:17" x14ac:dyDescent="0.35">
      <c r="A7" s="15" t="s">
        <v>143</v>
      </c>
      <c r="B7" s="15" t="s">
        <v>9</v>
      </c>
      <c r="C7" s="15">
        <v>15</v>
      </c>
      <c r="D7" s="15">
        <v>9</v>
      </c>
      <c r="E7" t="str">
        <f>VLOOKUP(A7,A2:D7,2,TRUE)</f>
        <v>Eva</v>
      </c>
      <c r="F7" t="s">
        <v>143</v>
      </c>
      <c r="G7" t="str">
        <f>_xlfn.XLOOKUP(F7,A14:A18,B14:B18)</f>
        <v>Cloud Computing with AWS and Azure</v>
      </c>
      <c r="O7" s="22"/>
      <c r="P7" s="22"/>
      <c r="Q7" s="22">
        <v>10</v>
      </c>
    </row>
    <row r="8" spans="1:17" ht="15.5" x14ac:dyDescent="0.35">
      <c r="O8" s="23" t="s">
        <v>150</v>
      </c>
      <c r="P8" s="22"/>
      <c r="Q8" s="23" t="str">
        <f>_xlfn.XLOOKUP(Q7,D3:D7,B3:B7)</f>
        <v>David</v>
      </c>
    </row>
    <row r="9" spans="1:17" x14ac:dyDescent="0.35">
      <c r="O9" s="22" t="str">
        <f>_xlfn.XLOOKUP(O8,B3:B7,C3:C7, "Not in List")</f>
        <v>Not in List</v>
      </c>
      <c r="P9" s="22"/>
      <c r="Q9" s="22"/>
    </row>
    <row r="12" spans="1:17" x14ac:dyDescent="0.35">
      <c r="A12" s="13" t="s">
        <v>145</v>
      </c>
    </row>
    <row r="13" spans="1:17" x14ac:dyDescent="0.35">
      <c r="A13" s="14" t="s">
        <v>130</v>
      </c>
      <c r="B13" s="16" t="s">
        <v>146</v>
      </c>
      <c r="C13" s="14" t="s">
        <v>130</v>
      </c>
      <c r="F13" t="s">
        <v>191</v>
      </c>
    </row>
    <row r="14" spans="1:17" ht="15.5" x14ac:dyDescent="0.35">
      <c r="A14" s="15" t="s">
        <v>135</v>
      </c>
      <c r="B14" s="17" t="s">
        <v>136</v>
      </c>
      <c r="C14" s="15" t="s">
        <v>135</v>
      </c>
      <c r="F14" s="20"/>
    </row>
    <row r="15" spans="1:17" x14ac:dyDescent="0.35">
      <c r="A15" s="15" t="s">
        <v>137</v>
      </c>
      <c r="B15" s="17" t="s">
        <v>138</v>
      </c>
      <c r="C15" s="15" t="s">
        <v>137</v>
      </c>
    </row>
    <row r="16" spans="1:17" x14ac:dyDescent="0.35">
      <c r="A16" s="15" t="s">
        <v>139</v>
      </c>
      <c r="B16" s="17" t="s">
        <v>140</v>
      </c>
      <c r="C16" s="15" t="s">
        <v>139</v>
      </c>
    </row>
    <row r="17" spans="1:9" x14ac:dyDescent="0.35">
      <c r="A17" s="15" t="s">
        <v>141</v>
      </c>
      <c r="B17" s="17" t="s">
        <v>142</v>
      </c>
      <c r="C17" s="15" t="s">
        <v>141</v>
      </c>
    </row>
    <row r="18" spans="1:9" x14ac:dyDescent="0.35">
      <c r="A18" s="15" t="s">
        <v>143</v>
      </c>
      <c r="B18" s="17" t="s">
        <v>144</v>
      </c>
      <c r="C18" s="15" t="s">
        <v>143</v>
      </c>
    </row>
    <row r="19" spans="1:9" ht="15.5" x14ac:dyDescent="0.35">
      <c r="G19" s="5" t="s">
        <v>151</v>
      </c>
      <c r="I19" s="5" t="s">
        <v>151</v>
      </c>
    </row>
    <row r="20" spans="1:9" ht="15.5" x14ac:dyDescent="0.35">
      <c r="G20" s="22"/>
      <c r="H20" s="22"/>
      <c r="I20" s="23"/>
    </row>
    <row r="21" spans="1:9" ht="15.5" x14ac:dyDescent="0.35">
      <c r="G21" s="23" t="s">
        <v>148</v>
      </c>
      <c r="H21" s="23" t="s">
        <v>149</v>
      </c>
      <c r="I21" s="23" t="s">
        <v>132</v>
      </c>
    </row>
    <row r="22" spans="1:9" x14ac:dyDescent="0.35">
      <c r="G22" s="22" t="s">
        <v>6</v>
      </c>
      <c r="H22" s="22">
        <f>_xlfn.XLOOKUP(B4,B2:B7,C2:C7,"Missing Age",0)</f>
        <v>15</v>
      </c>
      <c r="I22" s="22">
        <f>_xlfn.XLOOKUP(B4,B2:B7,D2:D7,"Missing Grade",0)</f>
        <v>9</v>
      </c>
    </row>
    <row r="23" spans="1:9" x14ac:dyDescent="0.35">
      <c r="G23" s="22"/>
      <c r="H23" s="22"/>
      <c r="I23" s="22"/>
    </row>
    <row r="24" spans="1:9" x14ac:dyDescent="0.35">
      <c r="G24" s="22"/>
      <c r="H24" s="22"/>
      <c r="I24" s="22"/>
    </row>
    <row r="25" spans="1:9" ht="15.5" x14ac:dyDescent="0.35">
      <c r="G25" s="23" t="s">
        <v>150</v>
      </c>
      <c r="H25" s="22" t="str">
        <f>_xlfn.XLOOKUP(F13,B2:B7,C2:C7,"Not in List",0)</f>
        <v>Not in List</v>
      </c>
      <c r="I25" s="23" t="str">
        <f>_xlfn.XLOOKUP(F13,B2:B7,D2:D7,"INVALID",0)</f>
        <v>INVALID</v>
      </c>
    </row>
    <row r="26" spans="1:9" x14ac:dyDescent="0.35">
      <c r="G26" s="22"/>
      <c r="H26" s="22"/>
      <c r="I26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C8343-F317-44EB-B6A9-7DA9BEC6EF2B}">
  <dimension ref="A1:R24"/>
  <sheetViews>
    <sheetView workbookViewId="0">
      <selection activeCell="O14" sqref="O14"/>
    </sheetView>
  </sheetViews>
  <sheetFormatPr defaultRowHeight="14.5" x14ac:dyDescent="0.35"/>
  <cols>
    <col min="8" max="8" width="10.08984375" bestFit="1" customWidth="1"/>
    <col min="10" max="10" width="10.08984375" bestFit="1" customWidth="1"/>
    <col min="17" max="17" width="14.1796875" bestFit="1" customWidth="1"/>
  </cols>
  <sheetData>
    <row r="1" spans="1:18" ht="18.5" x14ac:dyDescent="0.45">
      <c r="A1" s="24" t="s">
        <v>111</v>
      </c>
      <c r="B1" s="25"/>
      <c r="C1" s="25"/>
      <c r="D1" s="26"/>
      <c r="E1" s="27"/>
      <c r="F1" s="25"/>
      <c r="G1" s="10"/>
      <c r="H1" s="10" t="s">
        <v>119</v>
      </c>
      <c r="I1" s="10"/>
      <c r="J1" s="10" t="s">
        <v>122</v>
      </c>
      <c r="K1" s="10" t="s">
        <v>123</v>
      </c>
      <c r="L1" s="10" t="s">
        <v>124</v>
      </c>
      <c r="M1" s="10" t="s">
        <v>125</v>
      </c>
      <c r="N1" s="10" t="s">
        <v>126</v>
      </c>
      <c r="O1" s="10" t="s">
        <v>127</v>
      </c>
      <c r="Q1" s="10" t="s">
        <v>128</v>
      </c>
    </row>
    <row r="2" spans="1:18" x14ac:dyDescent="0.35">
      <c r="A2" s="24" t="s">
        <v>112</v>
      </c>
      <c r="B2" s="25"/>
      <c r="C2" s="25"/>
      <c r="D2" s="26"/>
      <c r="E2" s="26"/>
      <c r="F2" s="25"/>
      <c r="H2" s="11">
        <f ca="1">TODAY()</f>
        <v>46230</v>
      </c>
      <c r="J2" s="11">
        <f>DATE(2026,7,26)</f>
        <v>46229</v>
      </c>
      <c r="K2">
        <f>DAY(J2)</f>
        <v>26</v>
      </c>
      <c r="L2">
        <f>MONTH(J2)</f>
        <v>7</v>
      </c>
      <c r="M2">
        <f>YEAR(J2)</f>
        <v>2026</v>
      </c>
      <c r="N2" cm="1">
        <f t="array" ref="N2:N8">WEEKDAY(J2:J8,11)</f>
        <v>7</v>
      </c>
      <c r="O2">
        <f>_xlfn.DAYS(DATE(2026,5,12),DATE(2025,12,7))</f>
        <v>156</v>
      </c>
      <c r="Q2" s="12">
        <f ca="1">NOW()</f>
        <v>46230.077561226855</v>
      </c>
    </row>
    <row r="3" spans="1:18" ht="18.5" x14ac:dyDescent="0.45">
      <c r="A3" s="24" t="s">
        <v>113</v>
      </c>
      <c r="B3" s="25"/>
      <c r="C3" s="25"/>
      <c r="D3" s="25"/>
      <c r="E3" s="25"/>
      <c r="F3" s="25"/>
      <c r="H3" s="11">
        <f t="shared" ref="H3:H8" ca="1" si="0">TODAY()</f>
        <v>46230</v>
      </c>
      <c r="J3" s="11"/>
      <c r="N3">
        <v>6</v>
      </c>
      <c r="O3">
        <f>_xlfn.DAYS(DATE(2022,7,12),DATE(2024,8,23))</f>
        <v>-773</v>
      </c>
      <c r="Q3" s="10"/>
    </row>
    <row r="4" spans="1:18" x14ac:dyDescent="0.35">
      <c r="A4" s="24" t="s">
        <v>114</v>
      </c>
      <c r="B4" s="25"/>
      <c r="C4" s="25"/>
      <c r="D4" s="25"/>
      <c r="E4" s="25"/>
      <c r="F4" s="25"/>
      <c r="H4" s="11">
        <f t="shared" ca="1" si="0"/>
        <v>46230</v>
      </c>
      <c r="J4" s="11"/>
      <c r="N4">
        <v>6</v>
      </c>
      <c r="O4">
        <f t="shared" ref="O3:O8" si="1">_xlfn.DAYS(DATE(2026,5,12),DATE(2025,12,7))</f>
        <v>156</v>
      </c>
    </row>
    <row r="5" spans="1:18" x14ac:dyDescent="0.35">
      <c r="A5" s="24" t="s">
        <v>115</v>
      </c>
      <c r="B5" s="25"/>
      <c r="C5" s="25"/>
      <c r="D5" s="25"/>
      <c r="E5" s="25"/>
      <c r="F5" s="25"/>
      <c r="H5" s="11">
        <f t="shared" ca="1" si="0"/>
        <v>46230</v>
      </c>
      <c r="J5" s="11"/>
      <c r="N5">
        <v>6</v>
      </c>
      <c r="O5">
        <f t="shared" si="1"/>
        <v>156</v>
      </c>
    </row>
    <row r="6" spans="1:18" x14ac:dyDescent="0.35">
      <c r="A6" s="24" t="s">
        <v>116</v>
      </c>
      <c r="B6" s="25"/>
      <c r="C6" s="25"/>
      <c r="D6" s="25"/>
      <c r="E6" s="25"/>
      <c r="F6" s="25"/>
      <c r="H6" s="11">
        <f t="shared" ca="1" si="0"/>
        <v>46230</v>
      </c>
      <c r="J6" s="11"/>
      <c r="N6">
        <v>6</v>
      </c>
      <c r="O6">
        <f t="shared" si="1"/>
        <v>156</v>
      </c>
    </row>
    <row r="7" spans="1:18" x14ac:dyDescent="0.35">
      <c r="A7" s="24" t="s">
        <v>117</v>
      </c>
      <c r="B7" s="25"/>
      <c r="C7" s="25"/>
      <c r="D7" s="25"/>
      <c r="E7" s="25"/>
      <c r="F7" s="25"/>
      <c r="H7" s="11">
        <f t="shared" ca="1" si="0"/>
        <v>46230</v>
      </c>
      <c r="J7" s="11"/>
      <c r="N7">
        <v>6</v>
      </c>
      <c r="O7">
        <f t="shared" si="1"/>
        <v>156</v>
      </c>
    </row>
    <row r="8" spans="1:18" x14ac:dyDescent="0.35">
      <c r="A8" s="24" t="s">
        <v>118</v>
      </c>
      <c r="B8" s="25"/>
      <c r="C8" s="25"/>
      <c r="D8" s="25"/>
      <c r="E8" s="25"/>
      <c r="F8" s="25"/>
      <c r="H8" s="11">
        <f t="shared" ca="1" si="0"/>
        <v>46230</v>
      </c>
      <c r="J8" s="11"/>
      <c r="N8">
        <v>6</v>
      </c>
      <c r="O8">
        <f t="shared" si="1"/>
        <v>156</v>
      </c>
    </row>
    <row r="9" spans="1:18" x14ac:dyDescent="0.35">
      <c r="A9" s="25"/>
      <c r="B9" s="25"/>
      <c r="C9" s="25"/>
      <c r="D9" s="27"/>
      <c r="E9" s="25"/>
      <c r="F9" s="25"/>
    </row>
    <row r="10" spans="1:18" x14ac:dyDescent="0.35">
      <c r="A10" s="25"/>
      <c r="B10" s="25"/>
      <c r="C10" s="25"/>
      <c r="D10" s="25"/>
      <c r="E10" s="25"/>
      <c r="F10" s="25"/>
    </row>
    <row r="14" spans="1:18" x14ac:dyDescent="0.35"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</row>
    <row r="15" spans="1:18" x14ac:dyDescent="0.35">
      <c r="G15" s="68"/>
      <c r="H15" s="70" t="s">
        <v>192</v>
      </c>
      <c r="I15" s="69"/>
      <c r="J15" s="69"/>
      <c r="K15" s="69"/>
      <c r="L15" s="69"/>
      <c r="M15" s="69"/>
      <c r="N15" s="69"/>
      <c r="O15" s="69"/>
      <c r="P15" s="69"/>
      <c r="Q15" s="69"/>
      <c r="R15" s="68"/>
    </row>
    <row r="16" spans="1:18" x14ac:dyDescent="0.35">
      <c r="G16" s="68" t="s">
        <v>193</v>
      </c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8"/>
    </row>
    <row r="17" spans="7:18" x14ac:dyDescent="0.35">
      <c r="G17" s="68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8"/>
    </row>
    <row r="18" spans="7:18" x14ac:dyDescent="0.35">
      <c r="G18" s="68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8"/>
    </row>
    <row r="19" spans="7:18" x14ac:dyDescent="0.35">
      <c r="G19" s="68" t="s">
        <v>194</v>
      </c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8"/>
    </row>
    <row r="20" spans="7:18" x14ac:dyDescent="0.35">
      <c r="G20" s="68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8"/>
    </row>
    <row r="21" spans="7:18" x14ac:dyDescent="0.35">
      <c r="G21" s="68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8"/>
    </row>
    <row r="22" spans="7:18" x14ac:dyDescent="0.35">
      <c r="G22" s="68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8"/>
    </row>
    <row r="23" spans="7:18" x14ac:dyDescent="0.35">
      <c r="G23" s="68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8"/>
    </row>
    <row r="24" spans="7:18" x14ac:dyDescent="0.35">
      <c r="G24" s="68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CB100-F4AA-47E5-9EF8-30C9BD982D10}">
  <dimension ref="A1:R18"/>
  <sheetViews>
    <sheetView topLeftCell="A3" workbookViewId="0">
      <selection activeCell="R6" sqref="R6"/>
    </sheetView>
  </sheetViews>
  <sheetFormatPr defaultRowHeight="14.5" x14ac:dyDescent="0.35"/>
  <cols>
    <col min="1" max="1" width="10.36328125" customWidth="1"/>
    <col min="5" max="5" width="43.81640625" bestFit="1" customWidth="1"/>
    <col min="10" max="10" width="43.26953125" customWidth="1"/>
    <col min="11" max="11" width="5.7265625" customWidth="1"/>
    <col min="12" max="12" width="8.984375E-2" hidden="1" customWidth="1"/>
    <col min="13" max="14" width="8.7265625" hidden="1" customWidth="1"/>
    <col min="18" max="18" width="44" customWidth="1"/>
  </cols>
  <sheetData>
    <row r="1" spans="1:18" ht="15.5" x14ac:dyDescent="0.35">
      <c r="A1" s="18" t="s">
        <v>129</v>
      </c>
    </row>
    <row r="2" spans="1:18" ht="15.5" x14ac:dyDescent="0.35">
      <c r="A2" s="14" t="s">
        <v>130</v>
      </c>
      <c r="B2" s="14" t="s">
        <v>1</v>
      </c>
      <c r="C2" s="14" t="s">
        <v>131</v>
      </c>
      <c r="D2" s="14" t="s">
        <v>132</v>
      </c>
      <c r="E2" s="19" t="s">
        <v>134</v>
      </c>
      <c r="F2" s="19"/>
      <c r="G2" s="19"/>
      <c r="H2" s="19" t="s">
        <v>147</v>
      </c>
      <c r="J2" s="31" t="s">
        <v>152</v>
      </c>
      <c r="O2" s="32" t="s">
        <v>152</v>
      </c>
      <c r="P2" s="5" t="s">
        <v>153</v>
      </c>
      <c r="R2" s="33" t="s">
        <v>154</v>
      </c>
    </row>
    <row r="3" spans="1:18" x14ac:dyDescent="0.35">
      <c r="A3" s="15" t="s">
        <v>135</v>
      </c>
      <c r="B3" s="15" t="s">
        <v>5</v>
      </c>
      <c r="C3" s="15">
        <v>14</v>
      </c>
      <c r="D3" s="15">
        <v>8</v>
      </c>
      <c r="E3" t="s">
        <v>136</v>
      </c>
      <c r="H3" t="e">
        <v>#N/A</v>
      </c>
      <c r="J3" s="4" t="str">
        <f>VLOOKUP(A3,A14:C18,2,FALSE)</f>
        <v>Introduction to Data Science and Machine Learning</v>
      </c>
      <c r="O3" t="str">
        <f>VLOOKUP(A3,$A$13:$C$18,1,FALSE)</f>
        <v>S001</v>
      </c>
      <c r="P3" t="e">
        <f>VLOOKUP(A3,B13:C18,3, FALSE)</f>
        <v>#N/A</v>
      </c>
      <c r="R3" t="str">
        <f>_xlfn.XLOOKUP(A3,$C$13:$C$18,$B$13:$B$18,"Not Found", 0)</f>
        <v>Introduction to Data Science and Machine Learning</v>
      </c>
    </row>
    <row r="4" spans="1:18" x14ac:dyDescent="0.35">
      <c r="A4" s="15" t="s">
        <v>137</v>
      </c>
      <c r="B4" s="15" t="s">
        <v>6</v>
      </c>
      <c r="C4" s="15">
        <v>15</v>
      </c>
      <c r="D4" s="15">
        <v>9</v>
      </c>
      <c r="E4" t="s">
        <v>138</v>
      </c>
      <c r="H4" t="e">
        <v>#N/A</v>
      </c>
      <c r="J4" t="str">
        <f>VLOOKUP(A4,A15:C19,2)</f>
        <v>Full-Stack Web Development Bootcamp</v>
      </c>
      <c r="O4" t="str">
        <f>VLOOKUP(A4,$A$13:$C$18,1,FALSE)</f>
        <v>S002</v>
      </c>
      <c r="P4" t="e">
        <f>VLOOKUP(A4,B14:C19,3, FALSE)</f>
        <v>#N/A</v>
      </c>
    </row>
    <row r="5" spans="1:18" x14ac:dyDescent="0.35">
      <c r="A5" s="15" t="s">
        <v>139</v>
      </c>
      <c r="B5" s="15" t="s">
        <v>7</v>
      </c>
      <c r="C5" s="15">
        <v>14</v>
      </c>
      <c r="D5" s="15">
        <v>8</v>
      </c>
      <c r="E5" t="s">
        <v>140</v>
      </c>
      <c r="H5" t="e">
        <v>#N/A</v>
      </c>
      <c r="J5" t="str">
        <f>VLOOKUP(A5,A16:C20,2)</f>
        <v>Cybersecurity Essentials: Protecting Digital Assets</v>
      </c>
      <c r="O5" t="str">
        <f>VLOOKUP(A5,$A$13:$C$18,1,FALSE)</f>
        <v>S003</v>
      </c>
      <c r="P5" t="e">
        <f>VLOOKUP(A5,B15:C20,3, FALSE)</f>
        <v>#N/A</v>
      </c>
      <c r="R5" t="str">
        <f>_xlfn.XLOOKUP(O3,A2:A7,B2:B7,"Not Listed",0)</f>
        <v>Alice</v>
      </c>
    </row>
    <row r="6" spans="1:18" x14ac:dyDescent="0.35">
      <c r="A6" s="15" t="s">
        <v>141</v>
      </c>
      <c r="B6" s="15" t="s">
        <v>8</v>
      </c>
      <c r="C6" s="15">
        <v>16</v>
      </c>
      <c r="D6" s="15">
        <v>10</v>
      </c>
      <c r="E6" t="s">
        <v>142</v>
      </c>
      <c r="H6" t="e">
        <v>#N/A</v>
      </c>
      <c r="J6" t="str">
        <f>VLOOKUP(A6,A17:C21,2)</f>
        <v>Advanced Excel and Data Analysis</v>
      </c>
      <c r="O6" t="str">
        <f>VLOOKUP(A6,$A$13:$C$18,1,FALSE)</f>
        <v>S004</v>
      </c>
      <c r="P6" t="e">
        <f>VLOOKUP(A6,B16:C21,3, FALSE)</f>
        <v>#N/A</v>
      </c>
    </row>
    <row r="7" spans="1:18" x14ac:dyDescent="0.35">
      <c r="A7" s="15" t="s">
        <v>143</v>
      </c>
      <c r="B7" s="15" t="s">
        <v>9</v>
      </c>
      <c r="C7" s="15">
        <v>15</v>
      </c>
      <c r="D7" s="15">
        <v>9</v>
      </c>
      <c r="E7" t="s">
        <v>144</v>
      </c>
      <c r="H7" t="e">
        <v>#N/A</v>
      </c>
      <c r="J7" t="str">
        <f>VLOOKUP(A7,A18:C22,2)</f>
        <v>Cloud Computing with AWS and Azure</v>
      </c>
      <c r="O7" t="str">
        <f>VLOOKUP(A7,$A$13:$C$18,1,FALSE)</f>
        <v>S005</v>
      </c>
      <c r="P7" t="e">
        <f>VLOOKUP(A7,B17:C22,3, FALSE)</f>
        <v>#N/A</v>
      </c>
    </row>
    <row r="12" spans="1:18" x14ac:dyDescent="0.35">
      <c r="A12" s="13" t="s">
        <v>145</v>
      </c>
    </row>
    <row r="13" spans="1:18" x14ac:dyDescent="0.35">
      <c r="A13" s="14" t="s">
        <v>130</v>
      </c>
      <c r="B13" s="16" t="s">
        <v>146</v>
      </c>
      <c r="C13" s="14" t="s">
        <v>130</v>
      </c>
      <c r="R13" s="22"/>
    </row>
    <row r="14" spans="1:18" x14ac:dyDescent="0.35">
      <c r="A14" s="15" t="s">
        <v>135</v>
      </c>
      <c r="B14" s="17" t="s">
        <v>136</v>
      </c>
      <c r="C14" s="15" t="s">
        <v>135</v>
      </c>
    </row>
    <row r="15" spans="1:18" x14ac:dyDescent="0.35">
      <c r="A15" s="15" t="s">
        <v>137</v>
      </c>
      <c r="B15" s="17" t="s">
        <v>138</v>
      </c>
      <c r="C15" s="15" t="s">
        <v>137</v>
      </c>
    </row>
    <row r="16" spans="1:18" x14ac:dyDescent="0.35">
      <c r="A16" s="15" t="s">
        <v>139</v>
      </c>
      <c r="B16" s="17" t="s">
        <v>140</v>
      </c>
      <c r="C16" s="15" t="s">
        <v>139</v>
      </c>
    </row>
    <row r="17" spans="1:3" x14ac:dyDescent="0.35">
      <c r="A17" s="15" t="s">
        <v>141</v>
      </c>
      <c r="B17" s="17" t="s">
        <v>142</v>
      </c>
      <c r="C17" s="15" t="s">
        <v>141</v>
      </c>
    </row>
    <row r="18" spans="1:3" x14ac:dyDescent="0.35">
      <c r="A18" s="15" t="s">
        <v>143</v>
      </c>
      <c r="B18" s="17" t="s">
        <v>144</v>
      </c>
      <c r="C18" s="15" t="s">
        <v>143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Sheet1</vt:lpstr>
      <vt:lpstr>Sheet3</vt:lpstr>
      <vt:lpstr>Practice</vt:lpstr>
      <vt:lpstr>Sheet4</vt:lpstr>
      <vt:lpstr>Sheet6</vt:lpstr>
      <vt:lpstr>Sheet5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Danish Ah</cp:lastModifiedBy>
  <dcterms:created xsi:type="dcterms:W3CDTF">2024-09-09T21:26:52Z</dcterms:created>
  <dcterms:modified xsi:type="dcterms:W3CDTF">2026-07-26T20:21:49Z</dcterms:modified>
</cp:coreProperties>
</file>